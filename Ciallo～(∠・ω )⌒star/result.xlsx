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\Desktop\期刊\Final\MPP with PH Curve\"/>
    </mc:Choice>
  </mc:AlternateContent>
  <xr:revisionPtr revIDLastSave="0" documentId="13_ncr:1_{5DBD0D66-DA82-42B5-ADE0-46E350F3764F}" xr6:coauthVersionLast="47" xr6:coauthVersionMax="47" xr10:uidLastSave="{00000000-0000-0000-0000-000000000000}"/>
  <bookViews>
    <workbookView xWindow="-120" yWindow="-120" windowWidth="38640" windowHeight="21840" activeTab="4" xr2:uid="{00000000-000D-0000-FFFF-FFFF00000000}"/>
  </bookViews>
  <sheets>
    <sheet name="Sheet1" sheetId="1" r:id="rId1"/>
    <sheet name="Map1" sheetId="4" r:id="rId2"/>
    <sheet name="Map2" sheetId="3" r:id="rId3"/>
    <sheet name="Map3" sheetId="2" r:id="rId4"/>
    <sheet name="Sheet6" sheetId="6" r:id="rId5"/>
  </sheets>
  <definedNames>
    <definedName name="_xlnm._FilterDatabase" localSheetId="1" hidden="1">'Map1'!$C$1:$C$91</definedName>
    <definedName name="_xlnm._FilterDatabase" localSheetId="0" hidden="1">Sheet1!$B$1:$B$277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0" i="6" l="1"/>
  <c r="P76" i="6"/>
  <c r="Q76" i="6"/>
  <c r="P77" i="6"/>
  <c r="Q77" i="6"/>
  <c r="P78" i="6"/>
  <c r="Q78" i="6"/>
  <c r="P79" i="6"/>
  <c r="Q79" i="6"/>
  <c r="O77" i="6"/>
  <c r="O78" i="6"/>
  <c r="O79" i="6"/>
  <c r="O76" i="6"/>
  <c r="P68" i="6"/>
  <c r="Q68" i="6"/>
  <c r="P69" i="6"/>
  <c r="Q69" i="6"/>
  <c r="P70" i="6"/>
  <c r="Q70" i="6"/>
  <c r="P71" i="6"/>
  <c r="Q71" i="6"/>
  <c r="O69" i="6"/>
  <c r="O70" i="6"/>
  <c r="O71" i="6"/>
  <c r="O68" i="6"/>
  <c r="P60" i="6"/>
  <c r="Q60" i="6"/>
  <c r="P61" i="6"/>
  <c r="Q61" i="6"/>
  <c r="P62" i="6"/>
  <c r="Q62" i="6"/>
  <c r="P63" i="6"/>
  <c r="Q63" i="6"/>
  <c r="O61" i="6"/>
  <c r="O62" i="6"/>
  <c r="O63" i="6"/>
  <c r="O60" i="6"/>
  <c r="D76" i="6"/>
  <c r="E76" i="6"/>
  <c r="G76" i="6"/>
  <c r="H76" i="6"/>
  <c r="I76" i="6"/>
  <c r="K76" i="6"/>
  <c r="L76" i="6"/>
  <c r="M76" i="6"/>
  <c r="S76" i="6"/>
  <c r="T76" i="6"/>
  <c r="U76" i="6"/>
  <c r="D77" i="6"/>
  <c r="E77" i="6"/>
  <c r="G77" i="6"/>
  <c r="H77" i="6"/>
  <c r="I77" i="6"/>
  <c r="K77" i="6"/>
  <c r="L77" i="6"/>
  <c r="M77" i="6"/>
  <c r="S77" i="6"/>
  <c r="T77" i="6"/>
  <c r="U77" i="6"/>
  <c r="D78" i="6"/>
  <c r="E78" i="6"/>
  <c r="G78" i="6"/>
  <c r="H78" i="6"/>
  <c r="I78" i="6"/>
  <c r="K78" i="6"/>
  <c r="L78" i="6"/>
  <c r="M78" i="6"/>
  <c r="S78" i="6"/>
  <c r="T78" i="6"/>
  <c r="U78" i="6"/>
  <c r="D79" i="6"/>
  <c r="E79" i="6"/>
  <c r="G79" i="6"/>
  <c r="H79" i="6"/>
  <c r="I79" i="6"/>
  <c r="K79" i="6"/>
  <c r="L79" i="6"/>
  <c r="M79" i="6"/>
  <c r="S79" i="6"/>
  <c r="T79" i="6"/>
  <c r="U79" i="6"/>
  <c r="C77" i="6"/>
  <c r="C78" i="6"/>
  <c r="C79" i="6"/>
  <c r="C76" i="6"/>
  <c r="D68" i="6"/>
  <c r="E68" i="6"/>
  <c r="G68" i="6"/>
  <c r="H68" i="6"/>
  <c r="I68" i="6"/>
  <c r="K68" i="6"/>
  <c r="L68" i="6"/>
  <c r="M68" i="6"/>
  <c r="S68" i="6"/>
  <c r="T68" i="6"/>
  <c r="U68" i="6"/>
  <c r="D69" i="6"/>
  <c r="E69" i="6"/>
  <c r="G69" i="6"/>
  <c r="H69" i="6"/>
  <c r="I69" i="6"/>
  <c r="K69" i="6"/>
  <c r="L69" i="6"/>
  <c r="M69" i="6"/>
  <c r="S69" i="6"/>
  <c r="T69" i="6"/>
  <c r="U69" i="6"/>
  <c r="D70" i="6"/>
  <c r="E70" i="6"/>
  <c r="G70" i="6"/>
  <c r="H70" i="6"/>
  <c r="I70" i="6"/>
  <c r="K70" i="6"/>
  <c r="L70" i="6"/>
  <c r="M70" i="6"/>
  <c r="S70" i="6"/>
  <c r="T70" i="6"/>
  <c r="U70" i="6"/>
  <c r="D71" i="6"/>
  <c r="E71" i="6"/>
  <c r="G71" i="6"/>
  <c r="H71" i="6"/>
  <c r="I71" i="6"/>
  <c r="K71" i="6"/>
  <c r="L71" i="6"/>
  <c r="M71" i="6"/>
  <c r="S71" i="6"/>
  <c r="T71" i="6"/>
  <c r="U71" i="6"/>
  <c r="C69" i="6"/>
  <c r="C70" i="6"/>
  <c r="C71" i="6"/>
  <c r="C68" i="6"/>
  <c r="D63" i="6"/>
  <c r="E63" i="6"/>
  <c r="G63" i="6"/>
  <c r="H63" i="6"/>
  <c r="I63" i="6"/>
  <c r="K63" i="6"/>
  <c r="L63" i="6"/>
  <c r="M63" i="6"/>
  <c r="S63" i="6"/>
  <c r="T63" i="6"/>
  <c r="U63" i="6"/>
  <c r="D62" i="6"/>
  <c r="E62" i="6"/>
  <c r="G62" i="6"/>
  <c r="H62" i="6"/>
  <c r="I62" i="6"/>
  <c r="K62" i="6"/>
  <c r="L62" i="6"/>
  <c r="M62" i="6"/>
  <c r="S62" i="6"/>
  <c r="T62" i="6"/>
  <c r="U62" i="6"/>
  <c r="D61" i="6"/>
  <c r="E61" i="6"/>
  <c r="G61" i="6"/>
  <c r="H61" i="6"/>
  <c r="I61" i="6"/>
  <c r="K61" i="6"/>
  <c r="L61" i="6"/>
  <c r="M61" i="6"/>
  <c r="S61" i="6"/>
  <c r="T61" i="6"/>
  <c r="U61" i="6"/>
  <c r="D60" i="6"/>
  <c r="E60" i="6"/>
  <c r="G60" i="6"/>
  <c r="H60" i="6"/>
  <c r="I60" i="6"/>
  <c r="L60" i="6"/>
  <c r="M60" i="6"/>
  <c r="S60" i="6"/>
  <c r="T60" i="6"/>
  <c r="U60" i="6"/>
  <c r="C61" i="6"/>
  <c r="C62" i="6"/>
  <c r="C63" i="6"/>
  <c r="C60" i="6"/>
  <c r="X40" i="2"/>
  <c r="W40" i="2"/>
  <c r="V40" i="2"/>
  <c r="U40" i="2"/>
  <c r="T40" i="2"/>
  <c r="P40" i="2"/>
  <c r="O40" i="2"/>
  <c r="N40" i="2"/>
  <c r="M40" i="2"/>
  <c r="L40" i="2"/>
  <c r="H40" i="2"/>
  <c r="G40" i="2"/>
  <c r="F40" i="2"/>
  <c r="E40" i="2"/>
  <c r="D40" i="2"/>
  <c r="X38" i="2"/>
  <c r="W38" i="2"/>
  <c r="V38" i="2"/>
  <c r="U38" i="2"/>
  <c r="T38" i="2"/>
  <c r="P38" i="2"/>
  <c r="O38" i="2"/>
  <c r="N38" i="2"/>
  <c r="M38" i="2"/>
  <c r="L38" i="2"/>
  <c r="H38" i="2"/>
  <c r="G38" i="2"/>
  <c r="F38" i="2"/>
  <c r="E38" i="2"/>
  <c r="D38" i="2"/>
  <c r="X36" i="2"/>
  <c r="W36" i="2"/>
  <c r="V36" i="2"/>
  <c r="U36" i="2"/>
  <c r="T36" i="2"/>
  <c r="P36" i="2"/>
  <c r="O36" i="2"/>
  <c r="N36" i="2"/>
  <c r="M36" i="2"/>
  <c r="L36" i="2"/>
  <c r="H36" i="2"/>
  <c r="G36" i="2"/>
  <c r="F36" i="2"/>
  <c r="E36" i="2"/>
  <c r="D36" i="2"/>
  <c r="X34" i="2"/>
  <c r="W34" i="2"/>
  <c r="V34" i="2"/>
  <c r="U34" i="2"/>
  <c r="T34" i="2"/>
  <c r="P34" i="2"/>
  <c r="O34" i="2"/>
  <c r="N34" i="2"/>
  <c r="M34" i="2"/>
  <c r="L34" i="2"/>
  <c r="H34" i="2"/>
  <c r="G34" i="2"/>
  <c r="F34" i="2"/>
  <c r="E34" i="2"/>
  <c r="D34" i="2"/>
  <c r="X40" i="3"/>
  <c r="W40" i="3"/>
  <c r="V40" i="3"/>
  <c r="U40" i="3"/>
  <c r="T40" i="3"/>
  <c r="P40" i="3"/>
  <c r="O40" i="3"/>
  <c r="N40" i="3"/>
  <c r="M40" i="3"/>
  <c r="L40" i="3"/>
  <c r="H40" i="3"/>
  <c r="G40" i="3"/>
  <c r="F40" i="3"/>
  <c r="E40" i="3"/>
  <c r="D40" i="3"/>
  <c r="X38" i="3"/>
  <c r="W38" i="3"/>
  <c r="V38" i="3"/>
  <c r="U38" i="3"/>
  <c r="T38" i="3"/>
  <c r="P38" i="3"/>
  <c r="O38" i="3"/>
  <c r="N38" i="3"/>
  <c r="M38" i="3"/>
  <c r="L38" i="3"/>
  <c r="H38" i="3"/>
  <c r="G38" i="3"/>
  <c r="F38" i="3"/>
  <c r="E38" i="3"/>
  <c r="D38" i="3"/>
  <c r="X36" i="3"/>
  <c r="W36" i="3"/>
  <c r="V36" i="3"/>
  <c r="U36" i="3"/>
  <c r="T36" i="3"/>
  <c r="P36" i="3"/>
  <c r="O36" i="3"/>
  <c r="N36" i="3"/>
  <c r="M36" i="3"/>
  <c r="L36" i="3"/>
  <c r="H36" i="3"/>
  <c r="G36" i="3"/>
  <c r="F36" i="3"/>
  <c r="E36" i="3"/>
  <c r="D36" i="3"/>
  <c r="X34" i="3"/>
  <c r="W34" i="3"/>
  <c r="V34" i="3"/>
  <c r="U34" i="3"/>
  <c r="T34" i="3"/>
  <c r="P34" i="3"/>
  <c r="O34" i="3"/>
  <c r="N34" i="3"/>
  <c r="M34" i="3"/>
  <c r="L34" i="3"/>
  <c r="H34" i="3"/>
  <c r="G34" i="3"/>
  <c r="F34" i="3"/>
  <c r="E34" i="3"/>
  <c r="D34" i="3"/>
  <c r="D40" i="4"/>
  <c r="X40" i="4"/>
  <c r="X38" i="4"/>
  <c r="X36" i="4"/>
  <c r="X34" i="4"/>
  <c r="W40" i="4"/>
  <c r="W38" i="4"/>
  <c r="W36" i="4"/>
  <c r="W34" i="4"/>
  <c r="V40" i="4"/>
  <c r="V38" i="4"/>
  <c r="V36" i="4"/>
  <c r="V34" i="4"/>
  <c r="U40" i="4"/>
  <c r="U38" i="4"/>
  <c r="U36" i="4"/>
  <c r="U34" i="4"/>
  <c r="T40" i="4"/>
  <c r="T38" i="4"/>
  <c r="T36" i="4"/>
  <c r="T34" i="4"/>
  <c r="P40" i="4"/>
  <c r="P38" i="4"/>
  <c r="P36" i="4"/>
  <c r="P34" i="4"/>
  <c r="O40" i="4"/>
  <c r="O38" i="4"/>
  <c r="O36" i="4"/>
  <c r="O34" i="4"/>
  <c r="N40" i="4"/>
  <c r="N38" i="4"/>
  <c r="N36" i="4"/>
  <c r="N34" i="4"/>
  <c r="M40" i="4"/>
  <c r="M38" i="4"/>
  <c r="M36" i="4"/>
  <c r="M34" i="4"/>
  <c r="L40" i="4"/>
  <c r="L38" i="4"/>
  <c r="L36" i="4"/>
  <c r="L34" i="4"/>
  <c r="H40" i="4"/>
  <c r="H38" i="4"/>
  <c r="H36" i="4"/>
  <c r="H34" i="4"/>
  <c r="G40" i="4"/>
  <c r="G38" i="4"/>
  <c r="G36" i="4"/>
  <c r="G34" i="4"/>
  <c r="F40" i="4"/>
  <c r="F38" i="4"/>
  <c r="F36" i="4"/>
  <c r="F34" i="4"/>
  <c r="E40" i="4"/>
  <c r="E38" i="4"/>
  <c r="E36" i="4"/>
  <c r="E34" i="4"/>
  <c r="D34" i="4"/>
  <c r="D38" i="4"/>
  <c r="D36" i="4"/>
</calcChain>
</file>

<file path=xl/sharedStrings.xml><?xml version="1.0" encoding="utf-8"?>
<sst xmlns="http://schemas.openxmlformats.org/spreadsheetml/2006/main" count="1669" uniqueCount="256">
  <si>
    <t>Timestamp</t>
  </si>
  <si>
    <t>2025-11-27 19:50:08</t>
  </si>
  <si>
    <t>MapChoice</t>
  </si>
  <si>
    <t>MapSize</t>
  </si>
  <si>
    <t>Algorithm</t>
  </si>
  <si>
    <t>ACO</t>
  </si>
  <si>
    <t>RuntimeSeconds</t>
  </si>
  <si>
    <t>FinalLength</t>
  </si>
  <si>
    <t>FinalTurns</t>
  </si>
  <si>
    <t>FinalHeightStd</t>
  </si>
  <si>
    <t>FinalScore</t>
  </si>
  <si>
    <t>2025-11-27 19:50:12</t>
  </si>
  <si>
    <t>IACO</t>
  </si>
  <si>
    <t>2025-11-27 19:50:16</t>
  </si>
  <si>
    <t>IACO_FMO</t>
  </si>
  <si>
    <t>2025-11-29 18:30:47</t>
  </si>
  <si>
    <t>2025-11-29 18:30:48</t>
  </si>
  <si>
    <t>2025-11-29 20:53:30</t>
  </si>
  <si>
    <t>2025-11-29 20:53:31</t>
  </si>
  <si>
    <t>2025-12-01 13:25:35</t>
  </si>
  <si>
    <t>2025-12-01 13:25:38</t>
  </si>
  <si>
    <t>2025-12-01 13:25:39</t>
  </si>
  <si>
    <t>2025-12-01 15:38:14</t>
  </si>
  <si>
    <t>2025-12-01 15:38:15</t>
  </si>
  <si>
    <t>2025-12-01 15:38:41</t>
  </si>
  <si>
    <t>2025-12-01 15:38:42</t>
  </si>
  <si>
    <t>2025-12-01 15:38:43</t>
  </si>
  <si>
    <t>2025-12-01 15:39:03</t>
  </si>
  <si>
    <t>2025-12-01 15:39:04</t>
  </si>
  <si>
    <t>2025-12-01 15:39:19</t>
  </si>
  <si>
    <t>2025-12-01 15:39:20</t>
  </si>
  <si>
    <t>2025-12-01 16:01:50</t>
  </si>
  <si>
    <t>2025-12-01 16:01:51</t>
  </si>
  <si>
    <t>2025-12-01 16:10:15</t>
  </si>
  <si>
    <t>2025-12-01 16:10:16</t>
  </si>
  <si>
    <t>2025-12-01 16:10:17</t>
  </si>
  <si>
    <t>2025-12-01 16:10:22</t>
  </si>
  <si>
    <t>2025-12-01 16:10:23</t>
  </si>
  <si>
    <t>2025-12-01 16:10:24</t>
  </si>
  <si>
    <t>2025-12-01 16:10:28</t>
  </si>
  <si>
    <t>2025-12-01 16:10:30</t>
  </si>
  <si>
    <t>2025-12-01 16:10:35</t>
  </si>
  <si>
    <t>2025-12-01 16:10:36</t>
  </si>
  <si>
    <t>2025-12-01 16:10:37</t>
  </si>
  <si>
    <t>2025-12-01 16:10:42</t>
  </si>
  <si>
    <t>2025-12-01 16:10:43</t>
  </si>
  <si>
    <t>2025-12-01 16:10:44</t>
  </si>
  <si>
    <t>2025-12-01 16:10:48</t>
  </si>
  <si>
    <t>2025-12-01 16:10:49</t>
  </si>
  <si>
    <t>2025-12-01 16:10:50</t>
  </si>
  <si>
    <t>2025-12-01 16:10:55</t>
  </si>
  <si>
    <t>2025-12-01 16:10:56</t>
  </si>
  <si>
    <t>2025-12-01 16:10:57</t>
  </si>
  <si>
    <t>2025-12-01 16:11:01</t>
  </si>
  <si>
    <t>2025-12-01 16:11:02</t>
  </si>
  <si>
    <t>2025-12-01 16:11:03</t>
  </si>
  <si>
    <t>2025-12-01 16:11:08</t>
  </si>
  <si>
    <t>2025-12-01 16:11:09</t>
  </si>
  <si>
    <t>2025-12-01 16:11:10</t>
  </si>
  <si>
    <t>2025-12-01 16:20:58</t>
  </si>
  <si>
    <t>2025-12-01 16:21:00</t>
  </si>
  <si>
    <t>2025-12-01 16:24:10</t>
  </si>
  <si>
    <t>2025-12-01 16:24:11</t>
  </si>
  <si>
    <t>2025-12-01 16:24:12</t>
  </si>
  <si>
    <t>2025-12-01 16:31:21</t>
  </si>
  <si>
    <t>2025-12-01 16:31:22</t>
  </si>
  <si>
    <t>2025-12-01 16:38:29</t>
  </si>
  <si>
    <t>2025-12-01 16:38:30</t>
  </si>
  <si>
    <t>2025-12-01 16:38:31</t>
  </si>
  <si>
    <t>2025-12-01 16:38:34</t>
  </si>
  <si>
    <t>2025-12-01 16:38:35</t>
  </si>
  <si>
    <t>2025-12-01 16:38:38</t>
  </si>
  <si>
    <t>2025-12-01 16:38:39</t>
  </si>
  <si>
    <t>2025-12-01 16:38:40</t>
  </si>
  <si>
    <t>2025-12-01 16:38:43</t>
  </si>
  <si>
    <t>2025-12-01 16:38:44</t>
  </si>
  <si>
    <t>2025-12-01 16:38:47</t>
  </si>
  <si>
    <t>2025-12-01 16:38:48</t>
  </si>
  <si>
    <t>2025-12-01 16:38:51</t>
  </si>
  <si>
    <t>2025-12-01 16:38:52</t>
  </si>
  <si>
    <t>2025-12-01 16:38:53</t>
  </si>
  <si>
    <t>2025-12-01 16:38:56</t>
  </si>
  <si>
    <t>2025-12-01 16:38:57</t>
  </si>
  <si>
    <t>2025-12-01 16:39:00</t>
  </si>
  <si>
    <t>2025-12-01 16:39:01</t>
  </si>
  <si>
    <t>2025-12-01 16:39:04</t>
  </si>
  <si>
    <t>2025-12-01 16:39:05</t>
  </si>
  <si>
    <t>2025-12-01 16:39:09</t>
  </si>
  <si>
    <t>2025-12-01 16:39:10</t>
  </si>
  <si>
    <t>2025-12-01 16:39:13</t>
  </si>
  <si>
    <t>2025-12-01 16:39:14</t>
  </si>
  <si>
    <t>2025-12-01 16:39:17</t>
  </si>
  <si>
    <t>2025-12-01 16:39:18</t>
  </si>
  <si>
    <t>2025-12-01 16:39:21</t>
  </si>
  <si>
    <t>2025-12-01 16:39:22</t>
  </si>
  <si>
    <t>2025-12-01 16:39:23</t>
  </si>
  <si>
    <t>2025-12-01 16:40:42</t>
  </si>
  <si>
    <t>2025-12-01 16:40:43</t>
  </si>
  <si>
    <t>2025-12-01 16:40:46</t>
  </si>
  <si>
    <t>2025-12-01 16:40:47</t>
  </si>
  <si>
    <t>2025-12-01 16:40:48</t>
  </si>
  <si>
    <t>2025-12-01 16:44:26</t>
  </si>
  <si>
    <t>2025-12-01 16:44:27</t>
  </si>
  <si>
    <t>2025-12-01 16:44:28</t>
  </si>
  <si>
    <t>2025-12-01 16:44:47</t>
  </si>
  <si>
    <t>2025-12-01 16:44:48</t>
  </si>
  <si>
    <t>2025-12-01 16:44:49</t>
  </si>
  <si>
    <t>2025-12-01 16:45:36</t>
  </si>
  <si>
    <t>2025-12-01 16:45:37</t>
  </si>
  <si>
    <t>2025-12-01 16:45:38</t>
  </si>
  <si>
    <t>2025-12-01 16:45:42</t>
  </si>
  <si>
    <t>2025-12-01 16:45:43</t>
  </si>
  <si>
    <t>2025-12-01 16:45:53</t>
  </si>
  <si>
    <t>2025-12-01 16:45:54</t>
  </si>
  <si>
    <t>2025-12-01 16:45:59</t>
  </si>
  <si>
    <t>2025-12-01 16:46:00</t>
  </si>
  <si>
    <t>2025-12-01 16:46:05</t>
  </si>
  <si>
    <t>2025-12-01 16:46:06</t>
  </si>
  <si>
    <t>2025-12-01 16:46:11</t>
  </si>
  <si>
    <t>2025-12-01 16:46:12</t>
  </si>
  <si>
    <t>2025-12-01 16:46:17</t>
  </si>
  <si>
    <t>2025-12-01 16:46:18</t>
  </si>
  <si>
    <t>2025-12-01 16:46:23</t>
  </si>
  <si>
    <t>2025-12-01 16:46:24</t>
  </si>
  <si>
    <t>2025-12-01 16:46:28</t>
  </si>
  <si>
    <t>2025-12-01 16:46:29</t>
  </si>
  <si>
    <t>2025-12-01 16:46:34</t>
  </si>
  <si>
    <t>2025-12-01 16:46:35</t>
  </si>
  <si>
    <t>2025-12-01 16:46:40</t>
  </si>
  <si>
    <t>2025-12-01 16:46:41</t>
  </si>
  <si>
    <t>2025-12-01 16:46:42</t>
  </si>
  <si>
    <t>2025-12-01 16:46:45</t>
  </si>
  <si>
    <t>2025-12-01 16:46:46</t>
  </si>
  <si>
    <t>2025-12-01 16:46:47</t>
  </si>
  <si>
    <t>2025-12-01 16:46:51</t>
  </si>
  <si>
    <t>2025-12-01 16:46:52</t>
  </si>
  <si>
    <t>2025-12-01 16:46:53</t>
  </si>
  <si>
    <t>2025-12-01 16:46:57</t>
  </si>
  <si>
    <t>2025-12-01 16:46:58</t>
  </si>
  <si>
    <t>2025-12-01 16:47:26</t>
  </si>
  <si>
    <t>2025-12-01 16:47:27</t>
  </si>
  <si>
    <t>2025-12-01 16:47:31</t>
  </si>
  <si>
    <t>2025-12-01 16:47:32</t>
  </si>
  <si>
    <t>2025-12-01 16:47:33</t>
  </si>
  <si>
    <t>2025-12-01 16:47:37</t>
  </si>
  <si>
    <t>2025-12-01 16:47:38</t>
  </si>
  <si>
    <t>2025-12-01 16:47:51</t>
  </si>
  <si>
    <t>2025-12-01 16:47:52</t>
  </si>
  <si>
    <t>2025-12-01 16:47:53</t>
  </si>
  <si>
    <t>2025-12-01 16:47:58</t>
  </si>
  <si>
    <t>2025-12-01 16:47:59</t>
  </si>
  <si>
    <t>2025-12-01 16:48:10</t>
  </si>
  <si>
    <t>2025-12-01 16:48:11</t>
  </si>
  <si>
    <t>2025-12-01 16:51:35</t>
  </si>
  <si>
    <t>2025-12-01 16:51:36</t>
  </si>
  <si>
    <t>2025-12-01 16:51:37</t>
  </si>
  <si>
    <t>2025-12-01 16:51:43</t>
  </si>
  <si>
    <t>2025-12-01 16:51:44</t>
  </si>
  <si>
    <t>2025-12-01 16:52:15</t>
  </si>
  <si>
    <t>2025-12-01 16:52:16</t>
  </si>
  <si>
    <t>2025-12-01 16:52:17</t>
  </si>
  <si>
    <t>2025-12-01 16:53:28</t>
  </si>
  <si>
    <t>2025-12-01 16:53:29</t>
  </si>
  <si>
    <t>2025-12-01 16:53:30</t>
  </si>
  <si>
    <t>2025-12-01 16:55:38</t>
  </si>
  <si>
    <t>2025-12-01 16:55:39</t>
  </si>
  <si>
    <t>2025-12-01 16:56:49</t>
  </si>
  <si>
    <t>2025-12-01 16:56:50</t>
  </si>
  <si>
    <t>2025-12-01 16:58:52</t>
  </si>
  <si>
    <t>2025-12-01 16:58:53</t>
  </si>
  <si>
    <t>2025-12-01 16:59:08</t>
  </si>
  <si>
    <t>2025-12-01 16:59:09</t>
  </si>
  <si>
    <t>2025-12-01 16:59:12</t>
  </si>
  <si>
    <t>2025-12-01 16:59:13</t>
  </si>
  <si>
    <t>2025-12-01 16:59:19</t>
  </si>
  <si>
    <t>2025-12-01 16:59:20</t>
  </si>
  <si>
    <t>2025-12-01 16:59:25</t>
  </si>
  <si>
    <t>2025-12-01 16:59:26</t>
  </si>
  <si>
    <t>2025-12-01 16:59:34</t>
  </si>
  <si>
    <t>2025-12-01 16:59:35</t>
  </si>
  <si>
    <t>2025-12-01 16:59:41</t>
  </si>
  <si>
    <t>2025-12-01 16:59:42</t>
  </si>
  <si>
    <t>2025-12-01 16:59:50</t>
  </si>
  <si>
    <t>2025-12-01 16:59:51</t>
  </si>
  <si>
    <t>2025-12-01 17:00:00</t>
  </si>
  <si>
    <t>2025-12-01 17:00:01</t>
  </si>
  <si>
    <t>2025-12-01 17:00:09</t>
  </si>
  <si>
    <t>2025-12-01 17:00:10</t>
  </si>
  <si>
    <t>2025-12-01 17:00:14</t>
  </si>
  <si>
    <t>2025-12-01 17:00:15</t>
  </si>
  <si>
    <t>2025-12-01 17:00:20</t>
  </si>
  <si>
    <t>2025-12-01 17:00:21</t>
  </si>
  <si>
    <t>2025-12-01 17:00:24</t>
  </si>
  <si>
    <t>2025-12-01 17:00:25</t>
  </si>
  <si>
    <t>2025-12-01 17:00:30</t>
  </si>
  <si>
    <t>2025-12-01 17:00:31</t>
  </si>
  <si>
    <t>2025-12-01 17:00:37</t>
  </si>
  <si>
    <t>2025-12-01 17:00:38</t>
  </si>
  <si>
    <t>2025-12-01 17:00:42</t>
  </si>
  <si>
    <t>2025-12-01 17:00:43</t>
  </si>
  <si>
    <t>2025-12-01 17:01:23</t>
  </si>
  <si>
    <t>2025-12-01 17:01:24</t>
  </si>
  <si>
    <t>2025-12-01 17:01:29</t>
  </si>
  <si>
    <t>2025-12-01 17:01:30</t>
  </si>
  <si>
    <t>2025-12-01 17:01:36</t>
  </si>
  <si>
    <t>2025-12-01 17:01:37</t>
  </si>
  <si>
    <t>2025-12-01 17:01:42</t>
  </si>
  <si>
    <t>2025-12-01 17:01:43</t>
  </si>
  <si>
    <t>2025-12-01 17:01:48</t>
  </si>
  <si>
    <t>2025-12-01 17:01:49</t>
  </si>
  <si>
    <t>2025-12-01 17:01:53</t>
  </si>
  <si>
    <t>2025-12-01 17:01:54</t>
  </si>
  <si>
    <t>2025-12-01 17:02:00</t>
  </si>
  <si>
    <t>2025-12-01 17:02:01</t>
  </si>
  <si>
    <t>2025-12-01 17:02:05</t>
  </si>
  <si>
    <t>2025-12-01 17:02:06</t>
  </si>
  <si>
    <t>2025-12-01 17:02:10</t>
  </si>
  <si>
    <t>2025-12-01 17:02:11</t>
  </si>
  <si>
    <t>2025-12-01 17:02:17</t>
  </si>
  <si>
    <t>2025-12-01 17:02:18</t>
  </si>
  <si>
    <t>MapChoice</t>
    <phoneticPr fontId="1" type="noConversion"/>
  </si>
  <si>
    <t>Algorithm</t>
    <phoneticPr fontId="1" type="noConversion"/>
  </si>
  <si>
    <t>ACO</t>
    <phoneticPr fontId="1" type="noConversion"/>
  </si>
  <si>
    <t>max</t>
  </si>
  <si>
    <t>max</t>
    <phoneticPr fontId="1" type="noConversion"/>
  </si>
  <si>
    <t>min</t>
  </si>
  <si>
    <t>min</t>
    <phoneticPr fontId="1" type="noConversion"/>
  </si>
  <si>
    <t>mean</t>
  </si>
  <si>
    <t>mean</t>
    <phoneticPr fontId="1" type="noConversion"/>
  </si>
  <si>
    <t>std</t>
  </si>
  <si>
    <t>std</t>
    <phoneticPr fontId="1" type="noConversion"/>
  </si>
  <si>
    <t>IACO</t>
    <phoneticPr fontId="1" type="noConversion"/>
  </si>
  <si>
    <t>IACO_FMO</t>
    <phoneticPr fontId="1" type="noConversion"/>
  </si>
  <si>
    <t>origin data</t>
    <phoneticPr fontId="1" type="noConversion"/>
  </si>
  <si>
    <t>Map1</t>
    <phoneticPr fontId="1" type="noConversion"/>
  </si>
  <si>
    <t>Map2</t>
    <phoneticPr fontId="1" type="noConversion"/>
  </si>
  <si>
    <t>Map3</t>
    <phoneticPr fontId="1" type="noConversion"/>
  </si>
  <si>
    <t>RuntimeSeconds</t>
    <phoneticPr fontId="1" type="noConversion"/>
  </si>
  <si>
    <t>FinalTurns</t>
    <phoneticPr fontId="1" type="noConversion"/>
  </si>
  <si>
    <t>优化1：</t>
    <phoneticPr fontId="1" type="noConversion"/>
  </si>
  <si>
    <t>优化2：</t>
    <phoneticPr fontId="1" type="noConversion"/>
  </si>
  <si>
    <t>RuntimeSeconds（小好）</t>
    <phoneticPr fontId="1" type="noConversion"/>
  </si>
  <si>
    <t>FinalLength（小好）</t>
    <phoneticPr fontId="1" type="noConversion"/>
  </si>
  <si>
    <t>FinalTurns（小好）</t>
    <phoneticPr fontId="1" type="noConversion"/>
  </si>
  <si>
    <t>FinalScore（小好）</t>
    <phoneticPr fontId="1" type="noConversion"/>
  </si>
  <si>
    <t>FinalHeightStd（小好）x100</t>
  </si>
  <si>
    <t>FinalHeightStd（小好）x100</t>
    <phoneticPr fontId="1" type="noConversion"/>
  </si>
  <si>
    <t>RuntimeSeconds（小好）</t>
  </si>
  <si>
    <t>FinalLength（小好）</t>
  </si>
  <si>
    <t>FinalTurns（小好）</t>
  </si>
  <si>
    <t>FinalScore（小好）</t>
  </si>
  <si>
    <t>Map1</t>
  </si>
  <si>
    <t>Map2</t>
  </si>
  <si>
    <t>Map3</t>
  </si>
  <si>
    <t>分隔符</t>
    <phoneticPr fontId="1" type="noConversion"/>
  </si>
  <si>
    <t>优化3（方便复制）（无公式约束）：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</si>
</sst>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7"/>
  <sheetViews>
    <sheetView topLeftCell="A251" workbookViewId="0">
      <selection activeCell="H293" sqref="H293"/>
    </sheetView>
  </sheetViews>
  <sheetFormatPr defaultRowHeight="14.25" x14ac:dyDescent="0.2"/>
  <cols>
    <col min="1" max="1" width="18.375" customWidth="1"/>
    <col min="2" max="2" width="10.375" customWidth="1"/>
    <col min="3" max="3" width="8.125" customWidth="1"/>
    <col min="4" max="4" width="10" customWidth="1"/>
    <col min="5" max="5" width="14.75" customWidth="1"/>
    <col min="6" max="6" width="10.375" customWidth="1"/>
    <col min="7" max="7" width="9.125" customWidth="1"/>
    <col min="8" max="8" width="13.5" customWidth="1"/>
    <col min="9" max="9" width="11.5" customWidth="1"/>
  </cols>
  <sheetData>
    <row r="1" spans="1:11" x14ac:dyDescent="0.2">
      <c r="A1" t="s">
        <v>0</v>
      </c>
      <c r="B1" t="s">
        <v>220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11" x14ac:dyDescent="0.2">
      <c r="A2" t="s">
        <v>1</v>
      </c>
      <c r="B2">
        <v>3</v>
      </c>
      <c r="C2">
        <v>30</v>
      </c>
      <c r="D2" t="s">
        <v>5</v>
      </c>
      <c r="E2">
        <v>0.39954889999999998</v>
      </c>
      <c r="F2">
        <v>53.8</v>
      </c>
      <c r="G2">
        <v>16</v>
      </c>
      <c r="H2">
        <v>0.16963791265880057</v>
      </c>
      <c r="I2">
        <v>86.763791265880059</v>
      </c>
    </row>
    <row r="3" spans="1:11" x14ac:dyDescent="0.2">
      <c r="A3" t="s">
        <v>11</v>
      </c>
      <c r="B3">
        <v>3</v>
      </c>
      <c r="C3">
        <v>30</v>
      </c>
      <c r="D3" t="s">
        <v>12</v>
      </c>
      <c r="E3">
        <v>0.66215069999999998</v>
      </c>
      <c r="F3">
        <v>57.4</v>
      </c>
      <c r="G3">
        <v>4</v>
      </c>
      <c r="H3">
        <v>0.16443686021343873</v>
      </c>
      <c r="I3">
        <v>77.843686021343871</v>
      </c>
      <c r="K3" t="s">
        <v>233</v>
      </c>
    </row>
    <row r="4" spans="1:11" x14ac:dyDescent="0.2">
      <c r="A4" t="s">
        <v>13</v>
      </c>
      <c r="B4">
        <v>3</v>
      </c>
      <c r="C4">
        <v>30</v>
      </c>
      <c r="D4" t="s">
        <v>14</v>
      </c>
      <c r="E4">
        <v>0.3804304</v>
      </c>
      <c r="F4">
        <v>57.4</v>
      </c>
      <c r="G4">
        <v>2</v>
      </c>
      <c r="H4">
        <v>0.16443686021343873</v>
      </c>
      <c r="I4">
        <v>75.843686021343871</v>
      </c>
    </row>
    <row r="5" spans="1:11" x14ac:dyDescent="0.2">
      <c r="A5" t="s">
        <v>15</v>
      </c>
      <c r="B5">
        <v>3</v>
      </c>
      <c r="C5">
        <v>30</v>
      </c>
      <c r="D5" t="s">
        <v>5</v>
      </c>
      <c r="E5">
        <v>0.43994660000000002</v>
      </c>
      <c r="F5">
        <v>54.599999999999994</v>
      </c>
      <c r="G5">
        <v>18</v>
      </c>
      <c r="H5">
        <v>0.16963791265880057</v>
      </c>
      <c r="I5">
        <v>89.563791265880056</v>
      </c>
    </row>
    <row r="6" spans="1:11" x14ac:dyDescent="0.2">
      <c r="A6" t="s">
        <v>16</v>
      </c>
      <c r="B6">
        <v>3</v>
      </c>
      <c r="C6">
        <v>30</v>
      </c>
      <c r="D6" t="s">
        <v>12</v>
      </c>
      <c r="E6">
        <v>0.64831000000000005</v>
      </c>
      <c r="F6">
        <v>57.4</v>
      </c>
      <c r="G6">
        <v>6</v>
      </c>
      <c r="H6">
        <v>0.16443686021343873</v>
      </c>
      <c r="I6">
        <v>79.843686021343871</v>
      </c>
    </row>
    <row r="7" spans="1:11" x14ac:dyDescent="0.2">
      <c r="A7" t="s">
        <v>16</v>
      </c>
      <c r="B7">
        <v>3</v>
      </c>
      <c r="C7">
        <v>30</v>
      </c>
      <c r="D7" t="s">
        <v>14</v>
      </c>
      <c r="E7">
        <v>0.36790669999999998</v>
      </c>
      <c r="F7">
        <v>58</v>
      </c>
      <c r="G7">
        <v>1</v>
      </c>
      <c r="H7">
        <v>0.16363480559554011</v>
      </c>
      <c r="I7">
        <v>75.363480559554006</v>
      </c>
    </row>
    <row r="8" spans="1:11" x14ac:dyDescent="0.2">
      <c r="A8" t="s">
        <v>17</v>
      </c>
      <c r="B8">
        <v>1</v>
      </c>
      <c r="C8">
        <v>20</v>
      </c>
      <c r="D8" t="s">
        <v>5</v>
      </c>
      <c r="E8">
        <v>0.31146449999999998</v>
      </c>
      <c r="F8">
        <v>27.79999999999999</v>
      </c>
      <c r="G8">
        <v>7</v>
      </c>
      <c r="H8">
        <v>8.5918216911293394E-2</v>
      </c>
      <c r="I8">
        <v>43.39182169112933</v>
      </c>
    </row>
    <row r="9" spans="1:11" x14ac:dyDescent="0.2">
      <c r="A9" t="s">
        <v>18</v>
      </c>
      <c r="B9">
        <v>1</v>
      </c>
      <c r="C9">
        <v>20</v>
      </c>
      <c r="D9" t="s">
        <v>12</v>
      </c>
      <c r="E9">
        <v>0.4379014</v>
      </c>
      <c r="F9">
        <v>27.199999999999992</v>
      </c>
      <c r="G9">
        <v>3</v>
      </c>
      <c r="H9">
        <v>8.7091507217633701E-2</v>
      </c>
      <c r="I9">
        <v>38.909150721763361</v>
      </c>
    </row>
    <row r="10" spans="1:11" x14ac:dyDescent="0.2">
      <c r="A10" t="s">
        <v>18</v>
      </c>
      <c r="B10">
        <v>1</v>
      </c>
      <c r="C10">
        <v>20</v>
      </c>
      <c r="D10" t="s">
        <v>14</v>
      </c>
      <c r="E10">
        <v>0.25620860000000001</v>
      </c>
      <c r="F10">
        <v>26.599999999999991</v>
      </c>
      <c r="G10">
        <v>0</v>
      </c>
      <c r="H10">
        <v>8.8260907040230818E-2</v>
      </c>
      <c r="I10">
        <v>35.426090704023075</v>
      </c>
    </row>
    <row r="11" spans="1:11" x14ac:dyDescent="0.2">
      <c r="A11" t="s">
        <v>19</v>
      </c>
      <c r="B11">
        <v>1</v>
      </c>
      <c r="C11">
        <v>20</v>
      </c>
      <c r="D11" t="s">
        <v>5</v>
      </c>
      <c r="E11">
        <v>0.33357550000000002</v>
      </c>
      <c r="F11">
        <v>33.199999999999996</v>
      </c>
      <c r="G11">
        <v>12</v>
      </c>
      <c r="H11">
        <v>0.2536752734581047</v>
      </c>
      <c r="I11">
        <v>70.567527345810461</v>
      </c>
    </row>
    <row r="12" spans="1:11" x14ac:dyDescent="0.2">
      <c r="A12" t="s">
        <v>20</v>
      </c>
      <c r="B12">
        <v>1</v>
      </c>
      <c r="C12">
        <v>20</v>
      </c>
      <c r="D12" t="s">
        <v>12</v>
      </c>
      <c r="E12">
        <v>0.4775643</v>
      </c>
      <c r="F12">
        <v>33.199999999999996</v>
      </c>
      <c r="G12">
        <v>8</v>
      </c>
      <c r="H12">
        <v>0.2536752734581047</v>
      </c>
      <c r="I12">
        <v>66.567527345810461</v>
      </c>
    </row>
    <row r="13" spans="1:11" x14ac:dyDescent="0.2">
      <c r="A13" t="s">
        <v>21</v>
      </c>
      <c r="B13">
        <v>1</v>
      </c>
      <c r="C13">
        <v>20</v>
      </c>
      <c r="D13" t="s">
        <v>14</v>
      </c>
      <c r="E13">
        <v>0.31365520000000002</v>
      </c>
      <c r="F13">
        <v>32.599999999999994</v>
      </c>
      <c r="G13">
        <v>8</v>
      </c>
      <c r="H13">
        <v>0.22930185843997941</v>
      </c>
      <c r="I13">
        <v>63.530185843997934</v>
      </c>
    </row>
    <row r="14" spans="1:11" x14ac:dyDescent="0.2">
      <c r="A14" t="s">
        <v>22</v>
      </c>
      <c r="B14">
        <v>1</v>
      </c>
      <c r="C14">
        <v>20</v>
      </c>
      <c r="D14" t="s">
        <v>5</v>
      </c>
      <c r="E14">
        <v>0.28276770000000001</v>
      </c>
      <c r="F14">
        <v>34.399999999999991</v>
      </c>
      <c r="G14">
        <v>11</v>
      </c>
      <c r="H14">
        <v>0.25436518859153151</v>
      </c>
      <c r="I14">
        <v>70.836518859153145</v>
      </c>
    </row>
    <row r="15" spans="1:11" x14ac:dyDescent="0.2">
      <c r="A15" t="s">
        <v>22</v>
      </c>
      <c r="B15">
        <v>1</v>
      </c>
      <c r="C15">
        <v>20</v>
      </c>
      <c r="D15" t="s">
        <v>12</v>
      </c>
      <c r="E15">
        <v>0.4393958</v>
      </c>
      <c r="F15">
        <v>32.599999999999994</v>
      </c>
      <c r="G15">
        <v>8</v>
      </c>
      <c r="H15">
        <v>0.22930185843997941</v>
      </c>
      <c r="I15">
        <v>63.530185843997934</v>
      </c>
    </row>
    <row r="16" spans="1:11" x14ac:dyDescent="0.2">
      <c r="A16" t="s">
        <v>23</v>
      </c>
      <c r="B16">
        <v>1</v>
      </c>
      <c r="C16">
        <v>20</v>
      </c>
      <c r="D16" t="s">
        <v>14</v>
      </c>
      <c r="E16">
        <v>0.29056520000000002</v>
      </c>
      <c r="F16">
        <v>32.599999999999994</v>
      </c>
      <c r="G16">
        <v>9</v>
      </c>
      <c r="H16">
        <v>0.22930185843997941</v>
      </c>
      <c r="I16">
        <v>64.530185843997941</v>
      </c>
    </row>
    <row r="17" spans="1:9" x14ac:dyDescent="0.2">
      <c r="A17" t="s">
        <v>24</v>
      </c>
      <c r="B17">
        <v>2</v>
      </c>
      <c r="C17">
        <v>30</v>
      </c>
      <c r="D17" t="s">
        <v>5</v>
      </c>
      <c r="E17">
        <v>0.39531480000000002</v>
      </c>
      <c r="F17">
        <v>53.399999999999991</v>
      </c>
      <c r="G17">
        <v>27</v>
      </c>
      <c r="H17">
        <v>0.17185368367366327</v>
      </c>
      <c r="I17">
        <v>97.585368367366314</v>
      </c>
    </row>
    <row r="18" spans="1:9" x14ac:dyDescent="0.2">
      <c r="A18" t="s">
        <v>25</v>
      </c>
      <c r="B18">
        <v>2</v>
      </c>
      <c r="C18">
        <v>30</v>
      </c>
      <c r="D18" t="s">
        <v>12</v>
      </c>
      <c r="E18">
        <v>0.68097549999999996</v>
      </c>
      <c r="F18">
        <v>54.599999999999987</v>
      </c>
      <c r="G18">
        <v>19</v>
      </c>
      <c r="H18">
        <v>0.16963791265880057</v>
      </c>
      <c r="I18">
        <v>90.563791265880042</v>
      </c>
    </row>
    <row r="19" spans="1:9" x14ac:dyDescent="0.2">
      <c r="A19" t="s">
        <v>26</v>
      </c>
      <c r="B19">
        <v>2</v>
      </c>
      <c r="C19">
        <v>30</v>
      </c>
      <c r="D19" t="s">
        <v>14</v>
      </c>
      <c r="E19">
        <v>0.41769010000000001</v>
      </c>
      <c r="F19">
        <v>52.199999999999989</v>
      </c>
      <c r="G19">
        <v>13</v>
      </c>
      <c r="H19">
        <v>0.17510348858216454</v>
      </c>
      <c r="I19">
        <v>82.710348858216435</v>
      </c>
    </row>
    <row r="20" spans="1:9" x14ac:dyDescent="0.2">
      <c r="A20" t="s">
        <v>27</v>
      </c>
      <c r="B20">
        <v>3</v>
      </c>
      <c r="C20">
        <v>30</v>
      </c>
      <c r="D20" t="s">
        <v>5</v>
      </c>
      <c r="E20">
        <v>0.38745220000000002</v>
      </c>
      <c r="F20">
        <v>57.199999999999996</v>
      </c>
      <c r="G20">
        <v>18</v>
      </c>
      <c r="H20">
        <v>0.16693076376293794</v>
      </c>
      <c r="I20">
        <v>91.893076376293791</v>
      </c>
    </row>
    <row r="21" spans="1:9" x14ac:dyDescent="0.2">
      <c r="A21" t="s">
        <v>28</v>
      </c>
      <c r="B21">
        <v>3</v>
      </c>
      <c r="C21">
        <v>30</v>
      </c>
      <c r="D21" t="s">
        <v>12</v>
      </c>
      <c r="E21">
        <v>0.63865970000000005</v>
      </c>
      <c r="F21">
        <v>56.8</v>
      </c>
      <c r="G21">
        <v>5</v>
      </c>
      <c r="H21">
        <v>0.16524812341081874</v>
      </c>
      <c r="I21">
        <v>78.324812341081866</v>
      </c>
    </row>
    <row r="22" spans="1:9" x14ac:dyDescent="0.2">
      <c r="A22" t="s">
        <v>28</v>
      </c>
      <c r="B22">
        <v>3</v>
      </c>
      <c r="C22">
        <v>30</v>
      </c>
      <c r="D22" t="s">
        <v>14</v>
      </c>
      <c r="E22">
        <v>0.35729719999999998</v>
      </c>
      <c r="F22">
        <v>57.4</v>
      </c>
      <c r="G22">
        <v>2</v>
      </c>
      <c r="H22">
        <v>0.16443686021343873</v>
      </c>
      <c r="I22">
        <v>75.843686021343871</v>
      </c>
    </row>
    <row r="23" spans="1:9" x14ac:dyDescent="0.2">
      <c r="A23" t="s">
        <v>29</v>
      </c>
      <c r="B23">
        <v>3</v>
      </c>
      <c r="C23">
        <v>30</v>
      </c>
      <c r="D23" t="s">
        <v>5</v>
      </c>
      <c r="E23">
        <v>0.3784014</v>
      </c>
      <c r="F23">
        <v>53.8</v>
      </c>
      <c r="G23">
        <v>16</v>
      </c>
      <c r="H23">
        <v>0.16963791265880057</v>
      </c>
      <c r="I23">
        <v>86.763791265880059</v>
      </c>
    </row>
    <row r="24" spans="1:9" x14ac:dyDescent="0.2">
      <c r="A24" t="s">
        <v>29</v>
      </c>
      <c r="B24">
        <v>3</v>
      </c>
      <c r="C24">
        <v>30</v>
      </c>
      <c r="D24" t="s">
        <v>12</v>
      </c>
      <c r="E24">
        <v>0.63239330000000005</v>
      </c>
      <c r="F24">
        <v>57.4</v>
      </c>
      <c r="G24">
        <v>4</v>
      </c>
      <c r="H24">
        <v>0.16443686021343873</v>
      </c>
      <c r="I24">
        <v>77.843686021343871</v>
      </c>
    </row>
    <row r="25" spans="1:9" x14ac:dyDescent="0.2">
      <c r="A25" t="s">
        <v>30</v>
      </c>
      <c r="B25">
        <v>3</v>
      </c>
      <c r="C25">
        <v>30</v>
      </c>
      <c r="D25" t="s">
        <v>14</v>
      </c>
      <c r="E25">
        <v>0.37161139999999998</v>
      </c>
      <c r="F25">
        <v>56.8</v>
      </c>
      <c r="G25">
        <v>4</v>
      </c>
      <c r="H25">
        <v>0.16524812341081874</v>
      </c>
      <c r="I25">
        <v>77.324812341081866</v>
      </c>
    </row>
    <row r="26" spans="1:9" x14ac:dyDescent="0.2">
      <c r="A26" t="s">
        <v>31</v>
      </c>
      <c r="B26">
        <v>3</v>
      </c>
      <c r="C26">
        <v>30</v>
      </c>
      <c r="D26" t="s">
        <v>5</v>
      </c>
      <c r="E26">
        <v>0.37367359999999999</v>
      </c>
      <c r="F26">
        <v>54.599999999999994</v>
      </c>
      <c r="G26">
        <v>19</v>
      </c>
      <c r="H26">
        <v>0.16963791265880057</v>
      </c>
      <c r="I26">
        <v>90.563791265880056</v>
      </c>
    </row>
    <row r="27" spans="1:9" x14ac:dyDescent="0.2">
      <c r="A27" t="s">
        <v>32</v>
      </c>
      <c r="B27">
        <v>3</v>
      </c>
      <c r="C27">
        <v>30</v>
      </c>
      <c r="D27" t="s">
        <v>12</v>
      </c>
      <c r="E27">
        <v>0.63556049999999997</v>
      </c>
      <c r="F27">
        <v>56.8</v>
      </c>
      <c r="G27">
        <v>5</v>
      </c>
      <c r="H27">
        <v>0.16524812341081874</v>
      </c>
      <c r="I27">
        <v>78.324812341081866</v>
      </c>
    </row>
    <row r="28" spans="1:9" x14ac:dyDescent="0.2">
      <c r="A28" t="s">
        <v>32</v>
      </c>
      <c r="B28">
        <v>3</v>
      </c>
      <c r="C28">
        <v>30</v>
      </c>
      <c r="D28" t="s">
        <v>14</v>
      </c>
      <c r="E28">
        <v>0.3897852</v>
      </c>
      <c r="F28">
        <v>57.4</v>
      </c>
      <c r="G28">
        <v>3</v>
      </c>
      <c r="H28">
        <v>0.16443686021343873</v>
      </c>
      <c r="I28">
        <v>76.843686021343871</v>
      </c>
    </row>
    <row r="29" spans="1:9" x14ac:dyDescent="0.2">
      <c r="A29" t="s">
        <v>33</v>
      </c>
      <c r="B29">
        <v>3</v>
      </c>
      <c r="C29">
        <v>30</v>
      </c>
      <c r="D29" t="s">
        <v>5</v>
      </c>
      <c r="E29">
        <v>0.43324449999999998</v>
      </c>
      <c r="F29">
        <v>55.199999999999996</v>
      </c>
      <c r="G29">
        <v>22</v>
      </c>
      <c r="H29">
        <v>0.16874398457147607</v>
      </c>
      <c r="I29">
        <v>94.074398457147595</v>
      </c>
    </row>
    <row r="30" spans="1:9" x14ac:dyDescent="0.2">
      <c r="A30" t="s">
        <v>34</v>
      </c>
      <c r="B30">
        <v>3</v>
      </c>
      <c r="C30">
        <v>30</v>
      </c>
      <c r="D30" t="s">
        <v>12</v>
      </c>
      <c r="E30">
        <v>0.64199919999999999</v>
      </c>
      <c r="F30">
        <v>57.4</v>
      </c>
      <c r="G30">
        <v>4</v>
      </c>
      <c r="H30">
        <v>0.16443686021343873</v>
      </c>
      <c r="I30">
        <v>77.843686021343871</v>
      </c>
    </row>
    <row r="31" spans="1:9" x14ac:dyDescent="0.2">
      <c r="A31" t="s">
        <v>35</v>
      </c>
      <c r="B31">
        <v>3</v>
      </c>
      <c r="C31">
        <v>30</v>
      </c>
      <c r="D31" t="s">
        <v>14</v>
      </c>
      <c r="E31">
        <v>0.367141</v>
      </c>
      <c r="F31">
        <v>57.4</v>
      </c>
      <c r="G31">
        <v>3</v>
      </c>
      <c r="H31">
        <v>0.16443686021343873</v>
      </c>
      <c r="I31">
        <v>76.843686021343871</v>
      </c>
    </row>
    <row r="32" spans="1:9" x14ac:dyDescent="0.2">
      <c r="A32" t="s">
        <v>36</v>
      </c>
      <c r="B32">
        <v>3</v>
      </c>
      <c r="C32">
        <v>30</v>
      </c>
      <c r="D32" t="s">
        <v>5</v>
      </c>
      <c r="E32">
        <v>0.42933850000000001</v>
      </c>
      <c r="F32">
        <v>55.8</v>
      </c>
      <c r="G32">
        <v>17</v>
      </c>
      <c r="H32">
        <v>0.16782264622097726</v>
      </c>
      <c r="I32">
        <v>89.582264622097725</v>
      </c>
    </row>
    <row r="33" spans="1:9" x14ac:dyDescent="0.2">
      <c r="A33" t="s">
        <v>37</v>
      </c>
      <c r="B33">
        <v>3</v>
      </c>
      <c r="C33">
        <v>30</v>
      </c>
      <c r="D33" t="s">
        <v>12</v>
      </c>
      <c r="E33">
        <v>0.6606727</v>
      </c>
      <c r="F33">
        <v>56.8</v>
      </c>
      <c r="G33">
        <v>4</v>
      </c>
      <c r="H33">
        <v>0.16524812341081874</v>
      </c>
      <c r="I33">
        <v>77.324812341081866</v>
      </c>
    </row>
    <row r="34" spans="1:9" x14ac:dyDescent="0.2">
      <c r="A34" t="s">
        <v>38</v>
      </c>
      <c r="B34">
        <v>3</v>
      </c>
      <c r="C34">
        <v>30</v>
      </c>
      <c r="D34" t="s">
        <v>14</v>
      </c>
      <c r="E34">
        <v>0.3584946</v>
      </c>
      <c r="F34">
        <v>58</v>
      </c>
      <c r="G34">
        <v>1</v>
      </c>
      <c r="H34">
        <v>0.16363480559554011</v>
      </c>
      <c r="I34">
        <v>75.363480559554006</v>
      </c>
    </row>
    <row r="35" spans="1:9" x14ac:dyDescent="0.2">
      <c r="A35" t="s">
        <v>39</v>
      </c>
      <c r="B35">
        <v>3</v>
      </c>
      <c r="C35">
        <v>30</v>
      </c>
      <c r="D35" t="s">
        <v>5</v>
      </c>
      <c r="E35">
        <v>0.43062889999999998</v>
      </c>
      <c r="F35">
        <v>52.79999999999999</v>
      </c>
      <c r="G35">
        <v>22</v>
      </c>
      <c r="H35">
        <v>0.17360739953810886</v>
      </c>
      <c r="I35">
        <v>92.160739953810875</v>
      </c>
    </row>
    <row r="36" spans="1:9" x14ac:dyDescent="0.2">
      <c r="A36" t="s">
        <v>40</v>
      </c>
      <c r="B36">
        <v>3</v>
      </c>
      <c r="C36">
        <v>30</v>
      </c>
      <c r="D36" t="s">
        <v>12</v>
      </c>
      <c r="E36">
        <v>0.68171700000000002</v>
      </c>
      <c r="F36">
        <v>56.8</v>
      </c>
      <c r="G36">
        <v>6</v>
      </c>
      <c r="H36">
        <v>0.16524812341081874</v>
      </c>
      <c r="I36">
        <v>79.324812341081866</v>
      </c>
    </row>
    <row r="37" spans="1:9" x14ac:dyDescent="0.2">
      <c r="A37" t="s">
        <v>40</v>
      </c>
      <c r="B37">
        <v>3</v>
      </c>
      <c r="C37">
        <v>30</v>
      </c>
      <c r="D37" t="s">
        <v>14</v>
      </c>
      <c r="E37">
        <v>0.36595420000000001</v>
      </c>
      <c r="F37">
        <v>58</v>
      </c>
      <c r="G37">
        <v>1</v>
      </c>
      <c r="H37">
        <v>0.16363480559554011</v>
      </c>
      <c r="I37">
        <v>75.363480559554006</v>
      </c>
    </row>
    <row r="38" spans="1:9" x14ac:dyDescent="0.2">
      <c r="A38" t="s">
        <v>41</v>
      </c>
      <c r="B38">
        <v>3</v>
      </c>
      <c r="C38">
        <v>30</v>
      </c>
      <c r="D38" t="s">
        <v>5</v>
      </c>
      <c r="E38">
        <v>0.41999829999999999</v>
      </c>
      <c r="F38">
        <v>55.199999999999996</v>
      </c>
      <c r="G38">
        <v>18</v>
      </c>
      <c r="H38">
        <v>0.16874398457147607</v>
      </c>
      <c r="I38">
        <v>90.074398457147595</v>
      </c>
    </row>
    <row r="39" spans="1:9" x14ac:dyDescent="0.2">
      <c r="A39" t="s">
        <v>42</v>
      </c>
      <c r="B39">
        <v>3</v>
      </c>
      <c r="C39">
        <v>30</v>
      </c>
      <c r="D39" t="s">
        <v>12</v>
      </c>
      <c r="E39">
        <v>0.64145759999999996</v>
      </c>
      <c r="F39">
        <v>57.4</v>
      </c>
      <c r="G39">
        <v>4</v>
      </c>
      <c r="H39">
        <v>0.16443686021343873</v>
      </c>
      <c r="I39">
        <v>77.843686021343871</v>
      </c>
    </row>
    <row r="40" spans="1:9" x14ac:dyDescent="0.2">
      <c r="A40" t="s">
        <v>43</v>
      </c>
      <c r="B40">
        <v>3</v>
      </c>
      <c r="C40">
        <v>30</v>
      </c>
      <c r="D40" t="s">
        <v>14</v>
      </c>
      <c r="E40">
        <v>0.39993050000000002</v>
      </c>
      <c r="F40">
        <v>58</v>
      </c>
      <c r="G40">
        <v>1</v>
      </c>
      <c r="H40">
        <v>0.16363480559554011</v>
      </c>
      <c r="I40">
        <v>75.363480559554006</v>
      </c>
    </row>
    <row r="41" spans="1:9" x14ac:dyDescent="0.2">
      <c r="A41" t="s">
        <v>44</v>
      </c>
      <c r="B41">
        <v>3</v>
      </c>
      <c r="C41">
        <v>30</v>
      </c>
      <c r="D41" t="s">
        <v>5</v>
      </c>
      <c r="E41">
        <v>0.44410899999999998</v>
      </c>
      <c r="F41">
        <v>53.399999999999991</v>
      </c>
      <c r="G41">
        <v>20</v>
      </c>
      <c r="H41">
        <v>0.17185368367366327</v>
      </c>
      <c r="I41">
        <v>90.585368367366314</v>
      </c>
    </row>
    <row r="42" spans="1:9" x14ac:dyDescent="0.2">
      <c r="A42" t="s">
        <v>45</v>
      </c>
      <c r="B42">
        <v>3</v>
      </c>
      <c r="C42">
        <v>30</v>
      </c>
      <c r="D42" t="s">
        <v>12</v>
      </c>
      <c r="E42">
        <v>0.67824189999999995</v>
      </c>
      <c r="F42">
        <v>56.8</v>
      </c>
      <c r="G42">
        <v>5</v>
      </c>
      <c r="H42">
        <v>0.16524812341081874</v>
      </c>
      <c r="I42">
        <v>78.324812341081866</v>
      </c>
    </row>
    <row r="43" spans="1:9" x14ac:dyDescent="0.2">
      <c r="A43" t="s">
        <v>46</v>
      </c>
      <c r="B43">
        <v>3</v>
      </c>
      <c r="C43">
        <v>30</v>
      </c>
      <c r="D43" t="s">
        <v>14</v>
      </c>
      <c r="E43">
        <v>0.37558409999999998</v>
      </c>
      <c r="F43">
        <v>57.4</v>
      </c>
      <c r="G43">
        <v>3</v>
      </c>
      <c r="H43">
        <v>0.16443686021343873</v>
      </c>
      <c r="I43">
        <v>76.843686021343871</v>
      </c>
    </row>
    <row r="44" spans="1:9" x14ac:dyDescent="0.2">
      <c r="A44" t="s">
        <v>47</v>
      </c>
      <c r="B44">
        <v>3</v>
      </c>
      <c r="C44">
        <v>30</v>
      </c>
      <c r="D44" t="s">
        <v>5</v>
      </c>
      <c r="E44">
        <v>0.43902799999999997</v>
      </c>
      <c r="F44">
        <v>55.8</v>
      </c>
      <c r="G44">
        <v>19</v>
      </c>
      <c r="H44">
        <v>0.16782264622097726</v>
      </c>
      <c r="I44">
        <v>91.582264622097725</v>
      </c>
    </row>
    <row r="45" spans="1:9" x14ac:dyDescent="0.2">
      <c r="A45" t="s">
        <v>48</v>
      </c>
      <c r="B45">
        <v>3</v>
      </c>
      <c r="C45">
        <v>30</v>
      </c>
      <c r="D45" t="s">
        <v>12</v>
      </c>
      <c r="E45">
        <v>0.65075550000000004</v>
      </c>
      <c r="F45">
        <v>57.4</v>
      </c>
      <c r="G45">
        <v>4</v>
      </c>
      <c r="H45">
        <v>0.16443686021343873</v>
      </c>
      <c r="I45">
        <v>77.843686021343871</v>
      </c>
    </row>
    <row r="46" spans="1:9" x14ac:dyDescent="0.2">
      <c r="A46" t="s">
        <v>49</v>
      </c>
      <c r="B46">
        <v>3</v>
      </c>
      <c r="C46">
        <v>30</v>
      </c>
      <c r="D46" t="s">
        <v>14</v>
      </c>
      <c r="E46">
        <v>0.37701269999999998</v>
      </c>
      <c r="F46">
        <v>57.4</v>
      </c>
      <c r="G46">
        <v>3</v>
      </c>
      <c r="H46">
        <v>0.16443686021343873</v>
      </c>
      <c r="I46">
        <v>76.843686021343871</v>
      </c>
    </row>
    <row r="47" spans="1:9" x14ac:dyDescent="0.2">
      <c r="A47" t="s">
        <v>50</v>
      </c>
      <c r="B47">
        <v>3</v>
      </c>
      <c r="C47">
        <v>30</v>
      </c>
      <c r="D47" t="s">
        <v>5</v>
      </c>
      <c r="E47">
        <v>0.41445359999999998</v>
      </c>
      <c r="F47">
        <v>51.999999999999993</v>
      </c>
      <c r="G47">
        <v>24</v>
      </c>
      <c r="H47">
        <v>0.17360739953810886</v>
      </c>
      <c r="I47">
        <v>93.360739953810878</v>
      </c>
    </row>
    <row r="48" spans="1:9" x14ac:dyDescent="0.2">
      <c r="A48" t="s">
        <v>51</v>
      </c>
      <c r="B48">
        <v>3</v>
      </c>
      <c r="C48">
        <v>30</v>
      </c>
      <c r="D48" t="s">
        <v>12</v>
      </c>
      <c r="E48">
        <v>0.66107110000000002</v>
      </c>
      <c r="F48">
        <v>57.4</v>
      </c>
      <c r="G48">
        <v>4</v>
      </c>
      <c r="H48">
        <v>0.16443686021343873</v>
      </c>
      <c r="I48">
        <v>77.843686021343871</v>
      </c>
    </row>
    <row r="49" spans="1:9" x14ac:dyDescent="0.2">
      <c r="A49" t="s">
        <v>52</v>
      </c>
      <c r="B49">
        <v>3</v>
      </c>
      <c r="C49">
        <v>30</v>
      </c>
      <c r="D49" t="s">
        <v>14</v>
      </c>
      <c r="E49">
        <v>0.35058299999999998</v>
      </c>
      <c r="F49">
        <v>57.4</v>
      </c>
      <c r="G49">
        <v>2</v>
      </c>
      <c r="H49">
        <v>0.16443686021343873</v>
      </c>
      <c r="I49">
        <v>75.843686021343871</v>
      </c>
    </row>
    <row r="50" spans="1:9" x14ac:dyDescent="0.2">
      <c r="A50" t="s">
        <v>53</v>
      </c>
      <c r="B50">
        <v>3</v>
      </c>
      <c r="C50">
        <v>30</v>
      </c>
      <c r="D50" t="s">
        <v>5</v>
      </c>
      <c r="E50">
        <v>0.43775160000000002</v>
      </c>
      <c r="F50">
        <v>55.199999999999996</v>
      </c>
      <c r="G50">
        <v>19</v>
      </c>
      <c r="H50">
        <v>0.16874398457147607</v>
      </c>
      <c r="I50">
        <v>91.074398457147595</v>
      </c>
    </row>
    <row r="51" spans="1:9" x14ac:dyDescent="0.2">
      <c r="A51" t="s">
        <v>54</v>
      </c>
      <c r="B51">
        <v>3</v>
      </c>
      <c r="C51">
        <v>30</v>
      </c>
      <c r="D51" t="s">
        <v>12</v>
      </c>
      <c r="E51">
        <v>0.65219300000000002</v>
      </c>
      <c r="F51">
        <v>57.4</v>
      </c>
      <c r="G51">
        <v>4</v>
      </c>
      <c r="H51">
        <v>0.16443686021343873</v>
      </c>
      <c r="I51">
        <v>77.843686021343871</v>
      </c>
    </row>
    <row r="52" spans="1:9" x14ac:dyDescent="0.2">
      <c r="A52" t="s">
        <v>55</v>
      </c>
      <c r="B52">
        <v>3</v>
      </c>
      <c r="C52">
        <v>30</v>
      </c>
      <c r="D52" t="s">
        <v>14</v>
      </c>
      <c r="E52">
        <v>0.39395619999999998</v>
      </c>
      <c r="F52">
        <v>57.4</v>
      </c>
      <c r="G52">
        <v>3</v>
      </c>
      <c r="H52">
        <v>0.16443686021343873</v>
      </c>
      <c r="I52">
        <v>76.843686021343871</v>
      </c>
    </row>
    <row r="53" spans="1:9" x14ac:dyDescent="0.2">
      <c r="A53" t="s">
        <v>56</v>
      </c>
      <c r="B53">
        <v>3</v>
      </c>
      <c r="C53">
        <v>30</v>
      </c>
      <c r="D53" t="s">
        <v>5</v>
      </c>
      <c r="E53">
        <v>0.42341440000000002</v>
      </c>
      <c r="F53">
        <v>54.4</v>
      </c>
      <c r="G53">
        <v>15</v>
      </c>
      <c r="H53">
        <v>0.16874398457147607</v>
      </c>
      <c r="I53">
        <v>86.274398457147612</v>
      </c>
    </row>
    <row r="54" spans="1:9" x14ac:dyDescent="0.2">
      <c r="A54" t="s">
        <v>57</v>
      </c>
      <c r="B54">
        <v>3</v>
      </c>
      <c r="C54">
        <v>30</v>
      </c>
      <c r="D54" t="s">
        <v>12</v>
      </c>
      <c r="E54">
        <v>0.65768499999999996</v>
      </c>
      <c r="F54">
        <v>56.8</v>
      </c>
      <c r="G54">
        <v>5</v>
      </c>
      <c r="H54">
        <v>0.16524812341081874</v>
      </c>
      <c r="I54">
        <v>78.324812341081866</v>
      </c>
    </row>
    <row r="55" spans="1:9" x14ac:dyDescent="0.2">
      <c r="A55" t="s">
        <v>58</v>
      </c>
      <c r="B55">
        <v>3</v>
      </c>
      <c r="C55">
        <v>30</v>
      </c>
      <c r="D55" t="s">
        <v>14</v>
      </c>
      <c r="E55">
        <v>0.39949230000000002</v>
      </c>
      <c r="F55">
        <v>58</v>
      </c>
      <c r="G55">
        <v>2</v>
      </c>
      <c r="H55">
        <v>0.16363480559554011</v>
      </c>
      <c r="I55">
        <v>76.363480559554006</v>
      </c>
    </row>
    <row r="56" spans="1:9" x14ac:dyDescent="0.2">
      <c r="A56" t="s">
        <v>59</v>
      </c>
      <c r="B56">
        <v>3</v>
      </c>
      <c r="C56">
        <v>30</v>
      </c>
      <c r="D56" t="s">
        <v>5</v>
      </c>
      <c r="E56">
        <v>0.44394630000000002</v>
      </c>
      <c r="F56">
        <v>52.999999999999986</v>
      </c>
      <c r="G56">
        <v>25</v>
      </c>
      <c r="H56">
        <v>0.17510348858216454</v>
      </c>
      <c r="I56">
        <v>95.510348858216446</v>
      </c>
    </row>
    <row r="57" spans="1:9" x14ac:dyDescent="0.2">
      <c r="A57" t="s">
        <v>60</v>
      </c>
      <c r="B57">
        <v>3</v>
      </c>
      <c r="C57">
        <v>30</v>
      </c>
      <c r="D57" t="s">
        <v>12</v>
      </c>
      <c r="E57">
        <v>0.6662612</v>
      </c>
      <c r="F57">
        <v>56.8</v>
      </c>
      <c r="G57">
        <v>5</v>
      </c>
      <c r="H57">
        <v>0.16524812341081874</v>
      </c>
      <c r="I57">
        <v>78.324812341081866</v>
      </c>
    </row>
    <row r="58" spans="1:9" x14ac:dyDescent="0.2">
      <c r="A58" t="s">
        <v>60</v>
      </c>
      <c r="B58">
        <v>3</v>
      </c>
      <c r="C58">
        <v>30</v>
      </c>
      <c r="D58" t="s">
        <v>14</v>
      </c>
      <c r="E58">
        <v>0.38957940000000002</v>
      </c>
      <c r="F58">
        <v>58</v>
      </c>
      <c r="G58">
        <v>1</v>
      </c>
      <c r="H58">
        <v>0.16363480559554011</v>
      </c>
      <c r="I58">
        <v>75.363480559554006</v>
      </c>
    </row>
    <row r="59" spans="1:9" x14ac:dyDescent="0.2">
      <c r="A59" t="s">
        <v>61</v>
      </c>
      <c r="B59">
        <v>3</v>
      </c>
      <c r="C59">
        <v>30</v>
      </c>
      <c r="D59" t="s">
        <v>5</v>
      </c>
      <c r="E59">
        <v>0.46482440000000003</v>
      </c>
      <c r="F59">
        <v>55.199999999999996</v>
      </c>
      <c r="G59">
        <v>20</v>
      </c>
      <c r="H59">
        <v>0.16874398457147607</v>
      </c>
      <c r="I59">
        <v>92.074398457147595</v>
      </c>
    </row>
    <row r="60" spans="1:9" x14ac:dyDescent="0.2">
      <c r="A60" t="s">
        <v>62</v>
      </c>
      <c r="B60">
        <v>3</v>
      </c>
      <c r="C60">
        <v>30</v>
      </c>
      <c r="D60" t="s">
        <v>12</v>
      </c>
      <c r="E60">
        <v>0.64490499999999995</v>
      </c>
      <c r="F60">
        <v>56.199999999999996</v>
      </c>
      <c r="G60">
        <v>6</v>
      </c>
      <c r="H60">
        <v>0.16607578023887712</v>
      </c>
      <c r="I60">
        <v>78.807578023887714</v>
      </c>
    </row>
    <row r="61" spans="1:9" x14ac:dyDescent="0.2">
      <c r="A61" t="s">
        <v>63</v>
      </c>
      <c r="B61">
        <v>3</v>
      </c>
      <c r="C61">
        <v>30</v>
      </c>
      <c r="D61" t="s">
        <v>14</v>
      </c>
      <c r="E61">
        <v>0.36981239999999999</v>
      </c>
      <c r="F61">
        <v>57.4</v>
      </c>
      <c r="G61">
        <v>3</v>
      </c>
      <c r="H61">
        <v>0.16443686021343873</v>
      </c>
      <c r="I61">
        <v>76.843686021343871</v>
      </c>
    </row>
    <row r="62" spans="1:9" x14ac:dyDescent="0.2">
      <c r="A62" t="s">
        <v>64</v>
      </c>
      <c r="B62">
        <v>3</v>
      </c>
      <c r="C62">
        <v>30</v>
      </c>
      <c r="D62" t="s">
        <v>5</v>
      </c>
      <c r="E62">
        <v>0.41432099999999999</v>
      </c>
      <c r="F62">
        <v>53.199999999999996</v>
      </c>
      <c r="G62">
        <v>22</v>
      </c>
      <c r="H62">
        <v>0.17053833060089665</v>
      </c>
      <c r="I62">
        <v>92.253833060089661</v>
      </c>
    </row>
    <row r="63" spans="1:9" x14ac:dyDescent="0.2">
      <c r="A63" t="s">
        <v>65</v>
      </c>
      <c r="B63">
        <v>3</v>
      </c>
      <c r="C63">
        <v>30</v>
      </c>
      <c r="D63" t="s">
        <v>12</v>
      </c>
      <c r="E63">
        <v>0.63695299999999999</v>
      </c>
      <c r="F63">
        <v>56.8</v>
      </c>
      <c r="G63">
        <v>4</v>
      </c>
      <c r="H63">
        <v>0.16524812341081874</v>
      </c>
      <c r="I63">
        <v>77.324812341081866</v>
      </c>
    </row>
    <row r="64" spans="1:9" x14ac:dyDescent="0.2">
      <c r="A64" t="s">
        <v>65</v>
      </c>
      <c r="B64">
        <v>3</v>
      </c>
      <c r="C64">
        <v>30</v>
      </c>
      <c r="D64" t="s">
        <v>14</v>
      </c>
      <c r="E64">
        <v>0.37247750000000002</v>
      </c>
      <c r="F64">
        <v>58</v>
      </c>
      <c r="G64">
        <v>1</v>
      </c>
      <c r="H64">
        <v>0.16363480559554011</v>
      </c>
      <c r="I64">
        <v>75.363480559554006</v>
      </c>
    </row>
    <row r="65" spans="1:9" x14ac:dyDescent="0.2">
      <c r="A65" t="s">
        <v>66</v>
      </c>
      <c r="B65">
        <v>3</v>
      </c>
      <c r="C65">
        <v>30</v>
      </c>
      <c r="D65" t="s">
        <v>5</v>
      </c>
      <c r="E65">
        <v>0.41510910000000001</v>
      </c>
      <c r="F65">
        <v>55.199999999999996</v>
      </c>
      <c r="G65">
        <v>19</v>
      </c>
      <c r="H65">
        <v>0.16874398457147607</v>
      </c>
      <c r="I65">
        <v>91.074398457147595</v>
      </c>
    </row>
    <row r="66" spans="1:9" x14ac:dyDescent="0.2">
      <c r="A66" t="s">
        <v>67</v>
      </c>
      <c r="B66">
        <v>3</v>
      </c>
      <c r="C66">
        <v>30</v>
      </c>
      <c r="D66" t="s">
        <v>12</v>
      </c>
      <c r="E66">
        <v>0.67694650000000001</v>
      </c>
      <c r="F66">
        <v>55.6</v>
      </c>
      <c r="G66">
        <v>8</v>
      </c>
      <c r="H66">
        <v>0.16693076376293794</v>
      </c>
      <c r="I66">
        <v>80.293076376293797</v>
      </c>
    </row>
    <row r="67" spans="1:9" x14ac:dyDescent="0.2">
      <c r="A67" t="s">
        <v>68</v>
      </c>
      <c r="B67">
        <v>3</v>
      </c>
      <c r="C67">
        <v>30</v>
      </c>
      <c r="D67" t="s">
        <v>14</v>
      </c>
      <c r="E67">
        <v>0.3634561</v>
      </c>
      <c r="F67">
        <v>58</v>
      </c>
      <c r="G67">
        <v>1</v>
      </c>
      <c r="H67">
        <v>0.16363480559554011</v>
      </c>
      <c r="I67">
        <v>75.363480559554006</v>
      </c>
    </row>
    <row r="68" spans="1:9" x14ac:dyDescent="0.2">
      <c r="A68" t="s">
        <v>69</v>
      </c>
      <c r="B68">
        <v>3</v>
      </c>
      <c r="C68">
        <v>30</v>
      </c>
      <c r="D68" t="s">
        <v>5</v>
      </c>
      <c r="E68">
        <v>0.39295649999999999</v>
      </c>
      <c r="F68">
        <v>54.199999999999989</v>
      </c>
      <c r="G68">
        <v>20</v>
      </c>
      <c r="H68">
        <v>0.17185368367366327</v>
      </c>
      <c r="I68">
        <v>91.385368367366311</v>
      </c>
    </row>
    <row r="69" spans="1:9" x14ac:dyDescent="0.2">
      <c r="A69" t="s">
        <v>70</v>
      </c>
      <c r="B69">
        <v>3</v>
      </c>
      <c r="C69">
        <v>30</v>
      </c>
      <c r="D69" t="s">
        <v>12</v>
      </c>
      <c r="E69">
        <v>0.65349040000000003</v>
      </c>
      <c r="F69">
        <v>57.4</v>
      </c>
      <c r="G69">
        <v>4</v>
      </c>
      <c r="H69">
        <v>0.16443686021343873</v>
      </c>
      <c r="I69">
        <v>77.843686021343871</v>
      </c>
    </row>
    <row r="70" spans="1:9" x14ac:dyDescent="0.2">
      <c r="A70" t="s">
        <v>70</v>
      </c>
      <c r="B70">
        <v>3</v>
      </c>
      <c r="C70">
        <v>30</v>
      </c>
      <c r="D70" t="s">
        <v>14</v>
      </c>
      <c r="E70">
        <v>0.36265310000000001</v>
      </c>
      <c r="F70">
        <v>57.4</v>
      </c>
      <c r="G70">
        <v>3</v>
      </c>
      <c r="H70">
        <v>0.16443686021343873</v>
      </c>
      <c r="I70">
        <v>76.843686021343871</v>
      </c>
    </row>
    <row r="71" spans="1:9" x14ac:dyDescent="0.2">
      <c r="A71" t="s">
        <v>71</v>
      </c>
      <c r="B71">
        <v>3</v>
      </c>
      <c r="C71">
        <v>30</v>
      </c>
      <c r="D71" t="s">
        <v>5</v>
      </c>
      <c r="E71">
        <v>0.37693019999999999</v>
      </c>
      <c r="F71">
        <v>57</v>
      </c>
      <c r="G71">
        <v>11</v>
      </c>
      <c r="H71">
        <v>0.16607578023887712</v>
      </c>
      <c r="I71">
        <v>84.607578023887712</v>
      </c>
    </row>
    <row r="72" spans="1:9" x14ac:dyDescent="0.2">
      <c r="A72" t="s">
        <v>72</v>
      </c>
      <c r="B72">
        <v>3</v>
      </c>
      <c r="C72">
        <v>30</v>
      </c>
      <c r="D72" t="s">
        <v>12</v>
      </c>
      <c r="E72">
        <v>0.63496300000000006</v>
      </c>
      <c r="F72">
        <v>57.4</v>
      </c>
      <c r="G72">
        <v>4</v>
      </c>
      <c r="H72">
        <v>0.16443686021343873</v>
      </c>
      <c r="I72">
        <v>77.843686021343871</v>
      </c>
    </row>
    <row r="73" spans="1:9" x14ac:dyDescent="0.2">
      <c r="A73" t="s">
        <v>73</v>
      </c>
      <c r="B73">
        <v>3</v>
      </c>
      <c r="C73">
        <v>30</v>
      </c>
      <c r="D73" t="s">
        <v>14</v>
      </c>
      <c r="E73">
        <v>0.38607970000000003</v>
      </c>
      <c r="F73">
        <v>57.4</v>
      </c>
      <c r="G73">
        <v>3</v>
      </c>
      <c r="H73">
        <v>0.16443686021343873</v>
      </c>
      <c r="I73">
        <v>76.843686021343871</v>
      </c>
    </row>
    <row r="74" spans="1:9" x14ac:dyDescent="0.2">
      <c r="A74" t="s">
        <v>74</v>
      </c>
      <c r="B74">
        <v>3</v>
      </c>
      <c r="C74">
        <v>30</v>
      </c>
      <c r="D74" t="s">
        <v>5</v>
      </c>
      <c r="E74">
        <v>0.37270130000000001</v>
      </c>
      <c r="F74">
        <v>55.399999999999991</v>
      </c>
      <c r="G74">
        <v>20</v>
      </c>
      <c r="H74">
        <v>0.16963791265880057</v>
      </c>
      <c r="I74">
        <v>92.363791265880053</v>
      </c>
    </row>
    <row r="75" spans="1:9" x14ac:dyDescent="0.2">
      <c r="A75" t="s">
        <v>75</v>
      </c>
      <c r="B75">
        <v>3</v>
      </c>
      <c r="C75">
        <v>30</v>
      </c>
      <c r="D75" t="s">
        <v>12</v>
      </c>
      <c r="E75">
        <v>0.63367660000000003</v>
      </c>
      <c r="F75">
        <v>56.8</v>
      </c>
      <c r="G75">
        <v>5</v>
      </c>
      <c r="H75">
        <v>0.16524812341081874</v>
      </c>
      <c r="I75">
        <v>78.324812341081866</v>
      </c>
    </row>
    <row r="76" spans="1:9" x14ac:dyDescent="0.2">
      <c r="A76" t="s">
        <v>75</v>
      </c>
      <c r="B76">
        <v>3</v>
      </c>
      <c r="C76">
        <v>30</v>
      </c>
      <c r="D76" t="s">
        <v>14</v>
      </c>
      <c r="E76">
        <v>0.33855760000000001</v>
      </c>
      <c r="F76">
        <v>57.4</v>
      </c>
      <c r="G76">
        <v>2</v>
      </c>
      <c r="H76">
        <v>0.16443686021343873</v>
      </c>
      <c r="I76">
        <v>75.843686021343871</v>
      </c>
    </row>
    <row r="77" spans="1:9" x14ac:dyDescent="0.2">
      <c r="A77" t="s">
        <v>76</v>
      </c>
      <c r="B77">
        <v>3</v>
      </c>
      <c r="C77">
        <v>30</v>
      </c>
      <c r="D77" t="s">
        <v>5</v>
      </c>
      <c r="E77">
        <v>0.38087349999999998</v>
      </c>
      <c r="F77">
        <v>55.199999999999996</v>
      </c>
      <c r="G77">
        <v>16</v>
      </c>
      <c r="H77">
        <v>0.16874398457147607</v>
      </c>
      <c r="I77">
        <v>88.074398457147595</v>
      </c>
    </row>
    <row r="78" spans="1:9" x14ac:dyDescent="0.2">
      <c r="A78" t="s">
        <v>77</v>
      </c>
      <c r="B78">
        <v>3</v>
      </c>
      <c r="C78">
        <v>30</v>
      </c>
      <c r="D78" t="s">
        <v>12</v>
      </c>
      <c r="E78">
        <v>0.62902950000000002</v>
      </c>
      <c r="F78">
        <v>56.8</v>
      </c>
      <c r="G78">
        <v>4</v>
      </c>
      <c r="H78">
        <v>0.16524812341081874</v>
      </c>
      <c r="I78">
        <v>77.324812341081866</v>
      </c>
    </row>
    <row r="79" spans="1:9" x14ac:dyDescent="0.2">
      <c r="A79" t="s">
        <v>77</v>
      </c>
      <c r="B79">
        <v>3</v>
      </c>
      <c r="C79">
        <v>30</v>
      </c>
      <c r="D79" t="s">
        <v>14</v>
      </c>
      <c r="E79">
        <v>0.35687459999999999</v>
      </c>
      <c r="F79">
        <v>57.4</v>
      </c>
      <c r="G79">
        <v>2</v>
      </c>
      <c r="H79">
        <v>0.16443686021343873</v>
      </c>
      <c r="I79">
        <v>75.843686021343871</v>
      </c>
    </row>
    <row r="80" spans="1:9" x14ac:dyDescent="0.2">
      <c r="A80" t="s">
        <v>78</v>
      </c>
      <c r="B80">
        <v>3</v>
      </c>
      <c r="C80">
        <v>30</v>
      </c>
      <c r="D80" t="s">
        <v>5</v>
      </c>
      <c r="E80">
        <v>0.39237499999999997</v>
      </c>
      <c r="F80">
        <v>54.79999999999999</v>
      </c>
      <c r="G80">
        <v>19</v>
      </c>
      <c r="H80">
        <v>0.17053833060089665</v>
      </c>
      <c r="I80">
        <v>90.853833060089656</v>
      </c>
    </row>
    <row r="81" spans="1:9" x14ac:dyDescent="0.2">
      <c r="A81" t="s">
        <v>79</v>
      </c>
      <c r="B81">
        <v>3</v>
      </c>
      <c r="C81">
        <v>30</v>
      </c>
      <c r="D81" t="s">
        <v>12</v>
      </c>
      <c r="E81">
        <v>0.63256710000000005</v>
      </c>
      <c r="F81">
        <v>56.8</v>
      </c>
      <c r="G81">
        <v>5</v>
      </c>
      <c r="H81">
        <v>0.16524812341081874</v>
      </c>
      <c r="I81">
        <v>78.324812341081866</v>
      </c>
    </row>
    <row r="82" spans="1:9" x14ac:dyDescent="0.2">
      <c r="A82" t="s">
        <v>80</v>
      </c>
      <c r="B82">
        <v>3</v>
      </c>
      <c r="C82">
        <v>30</v>
      </c>
      <c r="D82" t="s">
        <v>14</v>
      </c>
      <c r="E82">
        <v>0.33914280000000002</v>
      </c>
      <c r="F82">
        <v>57.4</v>
      </c>
      <c r="G82">
        <v>2</v>
      </c>
      <c r="H82">
        <v>0.16443686021343873</v>
      </c>
      <c r="I82">
        <v>75.843686021343871</v>
      </c>
    </row>
    <row r="83" spans="1:9" x14ac:dyDescent="0.2">
      <c r="A83" t="s">
        <v>81</v>
      </c>
      <c r="B83">
        <v>3</v>
      </c>
      <c r="C83">
        <v>30</v>
      </c>
      <c r="D83" t="s">
        <v>5</v>
      </c>
      <c r="E83">
        <v>0.39003650000000001</v>
      </c>
      <c r="F83">
        <v>55.199999999999996</v>
      </c>
      <c r="G83">
        <v>16</v>
      </c>
      <c r="H83">
        <v>0.16874398457147607</v>
      </c>
      <c r="I83">
        <v>88.074398457147595</v>
      </c>
    </row>
    <row r="84" spans="1:9" x14ac:dyDescent="0.2">
      <c r="A84" t="s">
        <v>81</v>
      </c>
      <c r="B84">
        <v>3</v>
      </c>
      <c r="C84">
        <v>30</v>
      </c>
      <c r="D84" t="s">
        <v>12</v>
      </c>
      <c r="E84">
        <v>0.62511099999999997</v>
      </c>
      <c r="F84">
        <v>57.4</v>
      </c>
      <c r="G84">
        <v>6</v>
      </c>
      <c r="H84">
        <v>0.16443686021343873</v>
      </c>
      <c r="I84">
        <v>79.843686021343871</v>
      </c>
    </row>
    <row r="85" spans="1:9" x14ac:dyDescent="0.2">
      <c r="A85" t="s">
        <v>82</v>
      </c>
      <c r="B85">
        <v>3</v>
      </c>
      <c r="C85">
        <v>30</v>
      </c>
      <c r="D85" t="s">
        <v>14</v>
      </c>
      <c r="E85">
        <v>0.35853489999999999</v>
      </c>
      <c r="F85">
        <v>58</v>
      </c>
      <c r="G85">
        <v>2</v>
      </c>
      <c r="H85">
        <v>0.16363480559554011</v>
      </c>
      <c r="I85">
        <v>76.363480559554006</v>
      </c>
    </row>
    <row r="86" spans="1:9" x14ac:dyDescent="0.2">
      <c r="A86" t="s">
        <v>83</v>
      </c>
      <c r="B86">
        <v>3</v>
      </c>
      <c r="C86">
        <v>30</v>
      </c>
      <c r="D86" t="s">
        <v>5</v>
      </c>
      <c r="E86">
        <v>0.39534580000000002</v>
      </c>
      <c r="F86">
        <v>55.199999999999996</v>
      </c>
      <c r="G86">
        <v>20</v>
      </c>
      <c r="H86">
        <v>0.16874398457147607</v>
      </c>
      <c r="I86">
        <v>92.074398457147595</v>
      </c>
    </row>
    <row r="87" spans="1:9" x14ac:dyDescent="0.2">
      <c r="A87" t="s">
        <v>84</v>
      </c>
      <c r="B87">
        <v>3</v>
      </c>
      <c r="C87">
        <v>30</v>
      </c>
      <c r="D87" t="s">
        <v>12</v>
      </c>
      <c r="E87">
        <v>0.61725019999999997</v>
      </c>
      <c r="F87">
        <v>56.2</v>
      </c>
      <c r="G87">
        <v>7</v>
      </c>
      <c r="H87">
        <v>0.16607578023887712</v>
      </c>
      <c r="I87">
        <v>79.807578023887714</v>
      </c>
    </row>
    <row r="88" spans="1:9" x14ac:dyDescent="0.2">
      <c r="A88" t="s">
        <v>84</v>
      </c>
      <c r="B88">
        <v>3</v>
      </c>
      <c r="C88">
        <v>30</v>
      </c>
      <c r="D88" t="s">
        <v>14</v>
      </c>
      <c r="E88">
        <v>0.37926860000000001</v>
      </c>
      <c r="F88">
        <v>57.4</v>
      </c>
      <c r="G88">
        <v>3</v>
      </c>
      <c r="H88">
        <v>0.16443686021343873</v>
      </c>
      <c r="I88">
        <v>76.843686021343871</v>
      </c>
    </row>
    <row r="89" spans="1:9" x14ac:dyDescent="0.2">
      <c r="A89" t="s">
        <v>85</v>
      </c>
      <c r="B89">
        <v>3</v>
      </c>
      <c r="C89">
        <v>30</v>
      </c>
      <c r="D89" t="s">
        <v>5</v>
      </c>
      <c r="E89">
        <v>0.37895600000000002</v>
      </c>
      <c r="F89">
        <v>54.599999999999994</v>
      </c>
      <c r="G89">
        <v>20</v>
      </c>
      <c r="H89">
        <v>0.16963791265880057</v>
      </c>
      <c r="I89">
        <v>91.563791265880056</v>
      </c>
    </row>
    <row r="90" spans="1:9" x14ac:dyDescent="0.2">
      <c r="A90" t="s">
        <v>86</v>
      </c>
      <c r="B90">
        <v>3</v>
      </c>
      <c r="C90">
        <v>30</v>
      </c>
      <c r="D90" t="s">
        <v>12</v>
      </c>
      <c r="E90">
        <v>0.60752349999999999</v>
      </c>
      <c r="F90">
        <v>56.8</v>
      </c>
      <c r="G90">
        <v>6</v>
      </c>
      <c r="H90">
        <v>0.16524812341081874</v>
      </c>
      <c r="I90">
        <v>79.324812341081866</v>
      </c>
    </row>
    <row r="91" spans="1:9" x14ac:dyDescent="0.2">
      <c r="A91" t="s">
        <v>86</v>
      </c>
      <c r="B91">
        <v>3</v>
      </c>
      <c r="C91">
        <v>30</v>
      </c>
      <c r="D91" t="s">
        <v>14</v>
      </c>
      <c r="E91">
        <v>0.34255940000000001</v>
      </c>
      <c r="F91">
        <v>57.4</v>
      </c>
      <c r="G91">
        <v>4</v>
      </c>
      <c r="H91">
        <v>0.16443686021343873</v>
      </c>
      <c r="I91">
        <v>77.843686021343871</v>
      </c>
    </row>
    <row r="92" spans="1:9" x14ac:dyDescent="0.2">
      <c r="A92" t="s">
        <v>87</v>
      </c>
      <c r="B92">
        <v>3</v>
      </c>
      <c r="C92">
        <v>30</v>
      </c>
      <c r="D92" t="s">
        <v>5</v>
      </c>
      <c r="E92">
        <v>0.3749479</v>
      </c>
      <c r="F92">
        <v>53.999999999999993</v>
      </c>
      <c r="G92">
        <v>21</v>
      </c>
      <c r="H92">
        <v>0.17053833060089665</v>
      </c>
      <c r="I92">
        <v>92.053833060089659</v>
      </c>
    </row>
    <row r="93" spans="1:9" x14ac:dyDescent="0.2">
      <c r="A93" t="s">
        <v>87</v>
      </c>
      <c r="B93">
        <v>3</v>
      </c>
      <c r="C93">
        <v>30</v>
      </c>
      <c r="D93" t="s">
        <v>12</v>
      </c>
      <c r="E93">
        <v>0.61472780000000005</v>
      </c>
      <c r="F93">
        <v>56.8</v>
      </c>
      <c r="G93">
        <v>5</v>
      </c>
      <c r="H93">
        <v>0.16524812341081874</v>
      </c>
      <c r="I93">
        <v>78.324812341081866</v>
      </c>
    </row>
    <row r="94" spans="1:9" x14ac:dyDescent="0.2">
      <c r="A94" t="s">
        <v>88</v>
      </c>
      <c r="B94">
        <v>3</v>
      </c>
      <c r="C94">
        <v>30</v>
      </c>
      <c r="D94" t="s">
        <v>14</v>
      </c>
      <c r="E94">
        <v>0.34958539999999999</v>
      </c>
      <c r="F94">
        <v>57.4</v>
      </c>
      <c r="G94">
        <v>2</v>
      </c>
      <c r="H94">
        <v>0.16443686021343873</v>
      </c>
      <c r="I94">
        <v>75.843686021343871</v>
      </c>
    </row>
    <row r="95" spans="1:9" x14ac:dyDescent="0.2">
      <c r="A95" t="s">
        <v>89</v>
      </c>
      <c r="B95">
        <v>3</v>
      </c>
      <c r="C95">
        <v>30</v>
      </c>
      <c r="D95" t="s">
        <v>5</v>
      </c>
      <c r="E95">
        <v>0.38360670000000002</v>
      </c>
      <c r="F95">
        <v>55.8</v>
      </c>
      <c r="G95">
        <v>20</v>
      </c>
      <c r="H95">
        <v>0.16782264622097726</v>
      </c>
      <c r="I95">
        <v>92.582264622097725</v>
      </c>
    </row>
    <row r="96" spans="1:9" x14ac:dyDescent="0.2">
      <c r="A96" t="s">
        <v>90</v>
      </c>
      <c r="B96">
        <v>3</v>
      </c>
      <c r="C96">
        <v>30</v>
      </c>
      <c r="D96" t="s">
        <v>12</v>
      </c>
      <c r="E96">
        <v>0.61915589999999998</v>
      </c>
      <c r="F96">
        <v>56.8</v>
      </c>
      <c r="G96">
        <v>4</v>
      </c>
      <c r="H96">
        <v>0.16524812341081874</v>
      </c>
      <c r="I96">
        <v>77.324812341081866</v>
      </c>
    </row>
    <row r="97" spans="1:9" x14ac:dyDescent="0.2">
      <c r="A97" t="s">
        <v>90</v>
      </c>
      <c r="B97">
        <v>3</v>
      </c>
      <c r="C97">
        <v>30</v>
      </c>
      <c r="D97" t="s">
        <v>14</v>
      </c>
      <c r="E97">
        <v>0.35146070000000001</v>
      </c>
      <c r="F97">
        <v>57.4</v>
      </c>
      <c r="G97">
        <v>3</v>
      </c>
      <c r="H97">
        <v>0.16443686021343873</v>
      </c>
      <c r="I97">
        <v>76.843686021343871</v>
      </c>
    </row>
    <row r="98" spans="1:9" x14ac:dyDescent="0.2">
      <c r="A98" t="s">
        <v>91</v>
      </c>
      <c r="B98">
        <v>3</v>
      </c>
      <c r="C98">
        <v>30</v>
      </c>
      <c r="D98" t="s">
        <v>5</v>
      </c>
      <c r="E98">
        <v>0.38787450000000001</v>
      </c>
      <c r="F98">
        <v>55.999999999999993</v>
      </c>
      <c r="G98">
        <v>19</v>
      </c>
      <c r="H98">
        <v>0.16874398457147607</v>
      </c>
      <c r="I98">
        <v>91.874398457147606</v>
      </c>
    </row>
    <row r="99" spans="1:9" x14ac:dyDescent="0.2">
      <c r="A99" t="s">
        <v>92</v>
      </c>
      <c r="B99">
        <v>3</v>
      </c>
      <c r="C99">
        <v>30</v>
      </c>
      <c r="D99" t="s">
        <v>12</v>
      </c>
      <c r="E99">
        <v>0.6122379</v>
      </c>
      <c r="F99">
        <v>57.4</v>
      </c>
      <c r="G99">
        <v>4</v>
      </c>
      <c r="H99">
        <v>0.16443686021343873</v>
      </c>
      <c r="I99">
        <v>77.843686021343871</v>
      </c>
    </row>
    <row r="100" spans="1:9" x14ac:dyDescent="0.2">
      <c r="A100" t="s">
        <v>92</v>
      </c>
      <c r="B100">
        <v>3</v>
      </c>
      <c r="C100">
        <v>30</v>
      </c>
      <c r="D100" t="s">
        <v>14</v>
      </c>
      <c r="E100">
        <v>0.34483140000000001</v>
      </c>
      <c r="F100">
        <v>58</v>
      </c>
      <c r="G100">
        <v>1</v>
      </c>
      <c r="H100">
        <v>0.16363480559554011</v>
      </c>
      <c r="I100">
        <v>75.363480559554006</v>
      </c>
    </row>
    <row r="101" spans="1:9" x14ac:dyDescent="0.2">
      <c r="A101" t="s">
        <v>93</v>
      </c>
      <c r="B101">
        <v>3</v>
      </c>
      <c r="C101">
        <v>30</v>
      </c>
      <c r="D101" t="s">
        <v>5</v>
      </c>
      <c r="E101">
        <v>0.37359920000000002</v>
      </c>
      <c r="F101">
        <v>55.199999999999996</v>
      </c>
      <c r="G101">
        <v>19</v>
      </c>
      <c r="H101">
        <v>0.16874398457147607</v>
      </c>
      <c r="I101">
        <v>91.074398457147595</v>
      </c>
    </row>
    <row r="102" spans="1:9" x14ac:dyDescent="0.2">
      <c r="A102" t="s">
        <v>94</v>
      </c>
      <c r="B102">
        <v>3</v>
      </c>
      <c r="C102">
        <v>30</v>
      </c>
      <c r="D102" t="s">
        <v>12</v>
      </c>
      <c r="E102">
        <v>0.62615699999999996</v>
      </c>
      <c r="F102">
        <v>56.8</v>
      </c>
      <c r="G102">
        <v>4</v>
      </c>
      <c r="H102">
        <v>0.16524812341081874</v>
      </c>
      <c r="I102">
        <v>77.324812341081866</v>
      </c>
    </row>
    <row r="103" spans="1:9" x14ac:dyDescent="0.2">
      <c r="A103" t="s">
        <v>95</v>
      </c>
      <c r="B103">
        <v>3</v>
      </c>
      <c r="C103">
        <v>30</v>
      </c>
      <c r="D103" t="s">
        <v>14</v>
      </c>
      <c r="E103">
        <v>0.3556358</v>
      </c>
      <c r="F103">
        <v>58</v>
      </c>
      <c r="G103">
        <v>2</v>
      </c>
      <c r="H103">
        <v>0.16363480559554011</v>
      </c>
      <c r="I103">
        <v>76.363480559554006</v>
      </c>
    </row>
    <row r="104" spans="1:9" x14ac:dyDescent="0.2">
      <c r="A104" t="s">
        <v>96</v>
      </c>
      <c r="B104">
        <v>2</v>
      </c>
      <c r="C104">
        <v>30</v>
      </c>
      <c r="D104" t="s">
        <v>5</v>
      </c>
      <c r="E104">
        <v>0.38437850000000001</v>
      </c>
      <c r="F104">
        <v>56.199999999999989</v>
      </c>
      <c r="G104">
        <v>26</v>
      </c>
      <c r="H104">
        <v>0.16963791265880057</v>
      </c>
      <c r="I104">
        <v>99.16379126588005</v>
      </c>
    </row>
    <row r="105" spans="1:9" x14ac:dyDescent="0.2">
      <c r="A105" t="s">
        <v>97</v>
      </c>
      <c r="B105">
        <v>2</v>
      </c>
      <c r="C105">
        <v>30</v>
      </c>
      <c r="D105" t="s">
        <v>12</v>
      </c>
      <c r="E105">
        <v>0.67256879999999997</v>
      </c>
      <c r="F105">
        <v>51.999999999999986</v>
      </c>
      <c r="G105">
        <v>21</v>
      </c>
      <c r="H105">
        <v>0.17360739953810886</v>
      </c>
      <c r="I105">
        <v>90.360739953810878</v>
      </c>
    </row>
    <row r="106" spans="1:9" x14ac:dyDescent="0.2">
      <c r="A106" t="s">
        <v>97</v>
      </c>
      <c r="B106">
        <v>2</v>
      </c>
      <c r="C106">
        <v>30</v>
      </c>
      <c r="D106" t="s">
        <v>14</v>
      </c>
      <c r="E106">
        <v>0.43272549999999999</v>
      </c>
      <c r="F106">
        <v>51.399999999999991</v>
      </c>
      <c r="G106">
        <v>11</v>
      </c>
      <c r="H106">
        <v>0.17510348858216454</v>
      </c>
      <c r="I106">
        <v>79.910348858216452</v>
      </c>
    </row>
    <row r="107" spans="1:9" x14ac:dyDescent="0.2">
      <c r="A107" t="s">
        <v>98</v>
      </c>
      <c r="B107">
        <v>2</v>
      </c>
      <c r="C107">
        <v>30</v>
      </c>
      <c r="D107" t="s">
        <v>5</v>
      </c>
      <c r="E107">
        <v>0.39329829999999999</v>
      </c>
      <c r="F107">
        <v>54.399999999999984</v>
      </c>
      <c r="G107">
        <v>27</v>
      </c>
      <c r="H107">
        <v>0.17360739953810886</v>
      </c>
      <c r="I107">
        <v>98.760739953810869</v>
      </c>
    </row>
    <row r="108" spans="1:9" x14ac:dyDescent="0.2">
      <c r="A108" t="s">
        <v>99</v>
      </c>
      <c r="B108">
        <v>2</v>
      </c>
      <c r="C108">
        <v>30</v>
      </c>
      <c r="D108" t="s">
        <v>12</v>
      </c>
      <c r="E108">
        <v>0.64943609999999996</v>
      </c>
      <c r="F108">
        <v>55.399999999999984</v>
      </c>
      <c r="G108">
        <v>18</v>
      </c>
      <c r="H108">
        <v>0.16963791265880057</v>
      </c>
      <c r="I108">
        <v>90.363791265880039</v>
      </c>
    </row>
    <row r="109" spans="1:9" x14ac:dyDescent="0.2">
      <c r="A109" t="s">
        <v>100</v>
      </c>
      <c r="B109">
        <v>2</v>
      </c>
      <c r="C109">
        <v>30</v>
      </c>
      <c r="D109" t="s">
        <v>14</v>
      </c>
      <c r="E109">
        <v>0.4581614</v>
      </c>
      <c r="F109">
        <v>50.199999999999989</v>
      </c>
      <c r="G109">
        <v>13</v>
      </c>
      <c r="H109">
        <v>0.16965650643722802</v>
      </c>
      <c r="I109">
        <v>80.165650643722785</v>
      </c>
    </row>
    <row r="110" spans="1:9" x14ac:dyDescent="0.2">
      <c r="A110" t="s">
        <v>101</v>
      </c>
      <c r="B110">
        <v>2</v>
      </c>
      <c r="C110">
        <v>30</v>
      </c>
      <c r="D110" t="s">
        <v>5</v>
      </c>
      <c r="E110">
        <v>0.39148460000000002</v>
      </c>
      <c r="F110">
        <v>53.599999999999987</v>
      </c>
      <c r="G110">
        <v>27</v>
      </c>
      <c r="H110">
        <v>0.17360739953810886</v>
      </c>
      <c r="I110">
        <v>97.960739953810872</v>
      </c>
    </row>
    <row r="111" spans="1:9" x14ac:dyDescent="0.2">
      <c r="A111" t="s">
        <v>102</v>
      </c>
      <c r="B111">
        <v>2</v>
      </c>
      <c r="C111">
        <v>30</v>
      </c>
      <c r="D111" t="s">
        <v>12</v>
      </c>
      <c r="E111">
        <v>0.66123509999999996</v>
      </c>
      <c r="F111">
        <v>55.399999999999984</v>
      </c>
      <c r="G111">
        <v>17</v>
      </c>
      <c r="H111">
        <v>0.16963791265880057</v>
      </c>
      <c r="I111">
        <v>89.363791265880039</v>
      </c>
    </row>
    <row r="112" spans="1:9" x14ac:dyDescent="0.2">
      <c r="A112" t="s">
        <v>103</v>
      </c>
      <c r="B112">
        <v>2</v>
      </c>
      <c r="C112">
        <v>30</v>
      </c>
      <c r="D112" t="s">
        <v>14</v>
      </c>
      <c r="E112">
        <v>0.46535700000000002</v>
      </c>
      <c r="F112">
        <v>50.199999999999989</v>
      </c>
      <c r="G112">
        <v>12</v>
      </c>
      <c r="H112">
        <v>0.16965650643722802</v>
      </c>
      <c r="I112">
        <v>79.165650643722785</v>
      </c>
    </row>
    <row r="113" spans="1:9" x14ac:dyDescent="0.2">
      <c r="A113" t="s">
        <v>104</v>
      </c>
      <c r="B113">
        <v>2</v>
      </c>
      <c r="C113">
        <v>30</v>
      </c>
      <c r="D113" t="s">
        <v>5</v>
      </c>
      <c r="E113">
        <v>0.38920709999999997</v>
      </c>
      <c r="F113">
        <v>51.799999999999983</v>
      </c>
      <c r="G113">
        <v>29</v>
      </c>
      <c r="H113">
        <v>0.16965650643722802</v>
      </c>
      <c r="I113">
        <v>97.765650643722779</v>
      </c>
    </row>
    <row r="114" spans="1:9" x14ac:dyDescent="0.2">
      <c r="A114" t="s">
        <v>105</v>
      </c>
      <c r="B114">
        <v>2</v>
      </c>
      <c r="C114">
        <v>30</v>
      </c>
      <c r="D114" t="s">
        <v>12</v>
      </c>
      <c r="E114">
        <v>0.69723760000000001</v>
      </c>
      <c r="F114">
        <v>55.399999999999991</v>
      </c>
      <c r="G114">
        <v>18</v>
      </c>
      <c r="H114">
        <v>0.16963791265880057</v>
      </c>
      <c r="I114">
        <v>90.363791265880053</v>
      </c>
    </row>
    <row r="115" spans="1:9" x14ac:dyDescent="0.2">
      <c r="A115" t="s">
        <v>106</v>
      </c>
      <c r="B115">
        <v>2</v>
      </c>
      <c r="C115">
        <v>30</v>
      </c>
      <c r="D115" t="s">
        <v>14</v>
      </c>
      <c r="E115">
        <v>0.44107190000000002</v>
      </c>
      <c r="F115">
        <v>50.999999999999986</v>
      </c>
      <c r="G115">
        <v>15</v>
      </c>
      <c r="H115">
        <v>0.16965650643722802</v>
      </c>
      <c r="I115">
        <v>82.965650643722796</v>
      </c>
    </row>
    <row r="116" spans="1:9" x14ac:dyDescent="0.2">
      <c r="A116" t="s">
        <v>107</v>
      </c>
      <c r="B116">
        <v>2</v>
      </c>
      <c r="C116">
        <v>30</v>
      </c>
      <c r="D116" t="s">
        <v>5</v>
      </c>
      <c r="E116">
        <v>0.38492290000000001</v>
      </c>
      <c r="F116">
        <v>52.399999999999984</v>
      </c>
      <c r="G116">
        <v>25</v>
      </c>
      <c r="H116">
        <v>0.17458113632261174</v>
      </c>
      <c r="I116">
        <v>94.858113632261166</v>
      </c>
    </row>
    <row r="117" spans="1:9" x14ac:dyDescent="0.2">
      <c r="A117" t="s">
        <v>108</v>
      </c>
      <c r="B117">
        <v>2</v>
      </c>
      <c r="C117">
        <v>30</v>
      </c>
      <c r="D117" t="s">
        <v>12</v>
      </c>
      <c r="E117">
        <v>0.65119309999999997</v>
      </c>
      <c r="F117">
        <v>54.799999999999983</v>
      </c>
      <c r="G117">
        <v>19</v>
      </c>
      <c r="H117">
        <v>0.17053833060089665</v>
      </c>
      <c r="I117">
        <v>90.853833060089642</v>
      </c>
    </row>
    <row r="118" spans="1:9" x14ac:dyDescent="0.2">
      <c r="A118" t="s">
        <v>109</v>
      </c>
      <c r="B118">
        <v>2</v>
      </c>
      <c r="C118">
        <v>30</v>
      </c>
      <c r="D118" t="s">
        <v>14</v>
      </c>
      <c r="E118">
        <v>0.42664600000000003</v>
      </c>
      <c r="F118">
        <v>50.999999999999986</v>
      </c>
      <c r="G118">
        <v>14</v>
      </c>
      <c r="H118">
        <v>0.16965650643722802</v>
      </c>
      <c r="I118">
        <v>81.965650643722796</v>
      </c>
    </row>
    <row r="119" spans="1:9" x14ac:dyDescent="0.2">
      <c r="A119" t="s">
        <v>110</v>
      </c>
      <c r="B119">
        <v>2</v>
      </c>
      <c r="C119">
        <v>30</v>
      </c>
      <c r="D119" t="s">
        <v>5</v>
      </c>
      <c r="E119">
        <v>0.38306509999999999</v>
      </c>
      <c r="F119">
        <v>54.199999999999989</v>
      </c>
      <c r="G119">
        <v>25</v>
      </c>
      <c r="H119">
        <v>0.17185368367366327</v>
      </c>
      <c r="I119">
        <v>96.385368367366311</v>
      </c>
    </row>
    <row r="120" spans="1:9" x14ac:dyDescent="0.2">
      <c r="A120" t="s">
        <v>111</v>
      </c>
      <c r="B120">
        <v>2</v>
      </c>
      <c r="C120">
        <v>30</v>
      </c>
      <c r="D120" t="s">
        <v>12</v>
      </c>
      <c r="E120">
        <v>0.64547339999999997</v>
      </c>
      <c r="F120">
        <v>54.799999999999983</v>
      </c>
      <c r="G120">
        <v>17</v>
      </c>
      <c r="H120">
        <v>0.17053833060089665</v>
      </c>
      <c r="I120">
        <v>88.853833060089642</v>
      </c>
    </row>
    <row r="121" spans="1:9" x14ac:dyDescent="0.2">
      <c r="A121" t="s">
        <v>111</v>
      </c>
      <c r="B121">
        <v>2</v>
      </c>
      <c r="C121">
        <v>30</v>
      </c>
      <c r="D121" t="s">
        <v>14</v>
      </c>
      <c r="E121">
        <v>0.43505969999999999</v>
      </c>
      <c r="F121">
        <v>51.399999999999991</v>
      </c>
      <c r="G121">
        <v>12</v>
      </c>
      <c r="H121">
        <v>0.17510348858216454</v>
      </c>
      <c r="I121">
        <v>80.910348858216452</v>
      </c>
    </row>
    <row r="122" spans="1:9" x14ac:dyDescent="0.2">
      <c r="A122" t="s">
        <v>112</v>
      </c>
      <c r="B122">
        <v>2</v>
      </c>
      <c r="C122">
        <v>30</v>
      </c>
      <c r="D122" t="s">
        <v>5</v>
      </c>
      <c r="E122">
        <v>0.38339699999999999</v>
      </c>
      <c r="F122">
        <v>53.599999999999987</v>
      </c>
      <c r="G122">
        <v>28</v>
      </c>
      <c r="H122">
        <v>0.17360739953810886</v>
      </c>
      <c r="I122">
        <v>98.960739953810872</v>
      </c>
    </row>
    <row r="123" spans="1:9" x14ac:dyDescent="0.2">
      <c r="A123" t="s">
        <v>113</v>
      </c>
      <c r="B123">
        <v>2</v>
      </c>
      <c r="C123">
        <v>30</v>
      </c>
      <c r="D123" t="s">
        <v>12</v>
      </c>
      <c r="E123">
        <v>0.63955510000000004</v>
      </c>
      <c r="F123">
        <v>55.599999999999987</v>
      </c>
      <c r="G123">
        <v>20</v>
      </c>
      <c r="H123">
        <v>0.17053833060089665</v>
      </c>
      <c r="I123">
        <v>92.653833060089653</v>
      </c>
    </row>
    <row r="124" spans="1:9" x14ac:dyDescent="0.2">
      <c r="A124" t="s">
        <v>113</v>
      </c>
      <c r="B124">
        <v>2</v>
      </c>
      <c r="C124">
        <v>30</v>
      </c>
      <c r="D124" t="s">
        <v>14</v>
      </c>
      <c r="E124">
        <v>0.45110070000000002</v>
      </c>
      <c r="F124">
        <v>53.399999999999991</v>
      </c>
      <c r="G124">
        <v>14</v>
      </c>
      <c r="H124">
        <v>0.17185368367366327</v>
      </c>
      <c r="I124">
        <v>84.585368367366314</v>
      </c>
    </row>
    <row r="125" spans="1:9" x14ac:dyDescent="0.2">
      <c r="A125" t="s">
        <v>114</v>
      </c>
      <c r="B125">
        <v>2</v>
      </c>
      <c r="C125">
        <v>30</v>
      </c>
      <c r="D125" t="s">
        <v>5</v>
      </c>
      <c r="E125">
        <v>0.37151780000000001</v>
      </c>
      <c r="F125">
        <v>58.199999999999989</v>
      </c>
      <c r="G125">
        <v>24</v>
      </c>
      <c r="H125">
        <v>0.16782264622097726</v>
      </c>
      <c r="I125">
        <v>98.982264622097716</v>
      </c>
    </row>
    <row r="126" spans="1:9" x14ac:dyDescent="0.2">
      <c r="A126" t="s">
        <v>115</v>
      </c>
      <c r="B126">
        <v>2</v>
      </c>
      <c r="C126">
        <v>30</v>
      </c>
      <c r="D126" t="s">
        <v>12</v>
      </c>
      <c r="E126">
        <v>0.66222729999999996</v>
      </c>
      <c r="F126">
        <v>54.799999999999983</v>
      </c>
      <c r="G126">
        <v>20</v>
      </c>
      <c r="H126">
        <v>0.17053833060089665</v>
      </c>
      <c r="I126">
        <v>91.853833060089642</v>
      </c>
    </row>
    <row r="127" spans="1:9" x14ac:dyDescent="0.2">
      <c r="A127" t="s">
        <v>115</v>
      </c>
      <c r="B127">
        <v>2</v>
      </c>
      <c r="C127">
        <v>30</v>
      </c>
      <c r="D127" t="s">
        <v>14</v>
      </c>
      <c r="E127">
        <v>0.42591269999999998</v>
      </c>
      <c r="F127">
        <v>50.79999999999999</v>
      </c>
      <c r="G127">
        <v>14</v>
      </c>
      <c r="H127">
        <v>0.17458113632261174</v>
      </c>
      <c r="I127">
        <v>82.258113632261171</v>
      </c>
    </row>
    <row r="128" spans="1:9" x14ac:dyDescent="0.2">
      <c r="A128" t="s">
        <v>116</v>
      </c>
      <c r="B128">
        <v>2</v>
      </c>
      <c r="C128">
        <v>30</v>
      </c>
      <c r="D128" t="s">
        <v>5</v>
      </c>
      <c r="E128">
        <v>0.3757991</v>
      </c>
      <c r="F128">
        <v>55.399999999999991</v>
      </c>
      <c r="G128">
        <v>28</v>
      </c>
      <c r="H128">
        <v>0.16963791265880057</v>
      </c>
      <c r="I128">
        <v>100.36379126588005</v>
      </c>
    </row>
    <row r="129" spans="1:9" x14ac:dyDescent="0.2">
      <c r="A129" t="s">
        <v>117</v>
      </c>
      <c r="B129">
        <v>2</v>
      </c>
      <c r="C129">
        <v>30</v>
      </c>
      <c r="D129" t="s">
        <v>12</v>
      </c>
      <c r="E129">
        <v>0.66931359999999995</v>
      </c>
      <c r="F129">
        <v>53.999999999999993</v>
      </c>
      <c r="G129">
        <v>20</v>
      </c>
      <c r="H129">
        <v>0.17053833060089665</v>
      </c>
      <c r="I129">
        <v>91.053833060089659</v>
      </c>
    </row>
    <row r="130" spans="1:9" x14ac:dyDescent="0.2">
      <c r="A130" t="s">
        <v>117</v>
      </c>
      <c r="B130">
        <v>2</v>
      </c>
      <c r="C130">
        <v>30</v>
      </c>
      <c r="D130" t="s">
        <v>14</v>
      </c>
      <c r="E130">
        <v>0.421904</v>
      </c>
      <c r="F130">
        <v>52.199999999999989</v>
      </c>
      <c r="G130">
        <v>15</v>
      </c>
      <c r="H130">
        <v>0.17510348858216454</v>
      </c>
      <c r="I130">
        <v>84.710348858216435</v>
      </c>
    </row>
    <row r="131" spans="1:9" x14ac:dyDescent="0.2">
      <c r="A131" t="s">
        <v>118</v>
      </c>
      <c r="B131">
        <v>2</v>
      </c>
      <c r="C131">
        <v>30</v>
      </c>
      <c r="D131" t="s">
        <v>5</v>
      </c>
      <c r="E131">
        <v>0.3760618</v>
      </c>
      <c r="F131">
        <v>53.599999999999994</v>
      </c>
      <c r="G131">
        <v>25</v>
      </c>
      <c r="H131">
        <v>0.17360739953810886</v>
      </c>
      <c r="I131">
        <v>95.960739953810872</v>
      </c>
    </row>
    <row r="132" spans="1:9" x14ac:dyDescent="0.2">
      <c r="A132" t="s">
        <v>118</v>
      </c>
      <c r="B132">
        <v>2</v>
      </c>
      <c r="C132">
        <v>30</v>
      </c>
      <c r="D132" t="s">
        <v>12</v>
      </c>
      <c r="E132">
        <v>0.66405820000000004</v>
      </c>
      <c r="F132">
        <v>55.399999999999984</v>
      </c>
      <c r="G132">
        <v>16</v>
      </c>
      <c r="H132">
        <v>0.16963791265880057</v>
      </c>
      <c r="I132">
        <v>88.363791265880039</v>
      </c>
    </row>
    <row r="133" spans="1:9" x14ac:dyDescent="0.2">
      <c r="A133" t="s">
        <v>119</v>
      </c>
      <c r="B133">
        <v>2</v>
      </c>
      <c r="C133">
        <v>30</v>
      </c>
      <c r="D133" t="s">
        <v>14</v>
      </c>
      <c r="E133">
        <v>0.44570739999999998</v>
      </c>
      <c r="F133">
        <v>51.999999999999993</v>
      </c>
      <c r="G133">
        <v>14</v>
      </c>
      <c r="H133">
        <v>0.17360739953810886</v>
      </c>
      <c r="I133">
        <v>83.360739953810878</v>
      </c>
    </row>
    <row r="134" spans="1:9" x14ac:dyDescent="0.2">
      <c r="A134" t="s">
        <v>120</v>
      </c>
      <c r="B134">
        <v>2</v>
      </c>
      <c r="C134">
        <v>30</v>
      </c>
      <c r="D134" t="s">
        <v>5</v>
      </c>
      <c r="E134">
        <v>0.36827520000000002</v>
      </c>
      <c r="F134">
        <v>56.79999999999999</v>
      </c>
      <c r="G134">
        <v>22</v>
      </c>
      <c r="H134">
        <v>0.16874398457147607</v>
      </c>
      <c r="I134">
        <v>95.674398457147589</v>
      </c>
    </row>
    <row r="135" spans="1:9" x14ac:dyDescent="0.2">
      <c r="A135" t="s">
        <v>121</v>
      </c>
      <c r="B135">
        <v>2</v>
      </c>
      <c r="C135">
        <v>30</v>
      </c>
      <c r="D135" t="s">
        <v>12</v>
      </c>
      <c r="E135">
        <v>0.65020849999999997</v>
      </c>
      <c r="F135">
        <v>55.999999999999986</v>
      </c>
      <c r="G135">
        <v>18</v>
      </c>
      <c r="H135">
        <v>0.16874398457147607</v>
      </c>
      <c r="I135">
        <v>90.874398457147592</v>
      </c>
    </row>
    <row r="136" spans="1:9" x14ac:dyDescent="0.2">
      <c r="A136" t="s">
        <v>121</v>
      </c>
      <c r="B136">
        <v>2</v>
      </c>
      <c r="C136">
        <v>30</v>
      </c>
      <c r="D136" t="s">
        <v>14</v>
      </c>
      <c r="E136">
        <v>0.422655</v>
      </c>
      <c r="F136">
        <v>51.999999999999993</v>
      </c>
      <c r="G136">
        <v>11</v>
      </c>
      <c r="H136">
        <v>0.17360739953810886</v>
      </c>
      <c r="I136">
        <v>80.360739953810878</v>
      </c>
    </row>
    <row r="137" spans="1:9" x14ac:dyDescent="0.2">
      <c r="A137" t="s">
        <v>122</v>
      </c>
      <c r="B137">
        <v>2</v>
      </c>
      <c r="C137">
        <v>30</v>
      </c>
      <c r="D137" t="s">
        <v>5</v>
      </c>
      <c r="E137">
        <v>0.37483919999999998</v>
      </c>
      <c r="F137">
        <v>54.999999999999986</v>
      </c>
      <c r="G137">
        <v>25</v>
      </c>
      <c r="H137">
        <v>0.17185368367366327</v>
      </c>
      <c r="I137">
        <v>97.185368367366308</v>
      </c>
    </row>
    <row r="138" spans="1:9" x14ac:dyDescent="0.2">
      <c r="A138" t="s">
        <v>122</v>
      </c>
      <c r="B138">
        <v>2</v>
      </c>
      <c r="C138">
        <v>30</v>
      </c>
      <c r="D138" t="s">
        <v>12</v>
      </c>
      <c r="E138">
        <v>0.67182129999999995</v>
      </c>
      <c r="F138">
        <v>54.799999999999983</v>
      </c>
      <c r="G138">
        <v>16</v>
      </c>
      <c r="H138">
        <v>0.17053833060089665</v>
      </c>
      <c r="I138">
        <v>87.853833060089642</v>
      </c>
    </row>
    <row r="139" spans="1:9" x14ac:dyDescent="0.2">
      <c r="A139" t="s">
        <v>123</v>
      </c>
      <c r="B139">
        <v>2</v>
      </c>
      <c r="C139">
        <v>30</v>
      </c>
      <c r="D139" t="s">
        <v>14</v>
      </c>
      <c r="E139">
        <v>0.43463439999999998</v>
      </c>
      <c r="F139">
        <v>52.199999999999989</v>
      </c>
      <c r="G139">
        <v>13</v>
      </c>
      <c r="H139">
        <v>0.17510348858216454</v>
      </c>
      <c r="I139">
        <v>82.710348858216435</v>
      </c>
    </row>
    <row r="140" spans="1:9" x14ac:dyDescent="0.2">
      <c r="A140" t="s">
        <v>124</v>
      </c>
      <c r="B140">
        <v>2</v>
      </c>
      <c r="C140">
        <v>30</v>
      </c>
      <c r="D140" t="s">
        <v>5</v>
      </c>
      <c r="E140">
        <v>0.38283030000000001</v>
      </c>
      <c r="F140">
        <v>52.199999999999989</v>
      </c>
      <c r="G140">
        <v>27</v>
      </c>
      <c r="H140">
        <v>0.17510348858216454</v>
      </c>
      <c r="I140">
        <v>96.710348858216435</v>
      </c>
    </row>
    <row r="141" spans="1:9" x14ac:dyDescent="0.2">
      <c r="A141" t="s">
        <v>125</v>
      </c>
      <c r="B141">
        <v>2</v>
      </c>
      <c r="C141">
        <v>30</v>
      </c>
      <c r="D141" t="s">
        <v>12</v>
      </c>
      <c r="E141">
        <v>0.65884350000000003</v>
      </c>
      <c r="F141">
        <v>55.399999999999984</v>
      </c>
      <c r="G141">
        <v>17</v>
      </c>
      <c r="H141">
        <v>0.16963791265880057</v>
      </c>
      <c r="I141">
        <v>89.363791265880039</v>
      </c>
    </row>
    <row r="142" spans="1:9" x14ac:dyDescent="0.2">
      <c r="A142" t="s">
        <v>125</v>
      </c>
      <c r="B142">
        <v>2</v>
      </c>
      <c r="C142">
        <v>30</v>
      </c>
      <c r="D142" t="s">
        <v>14</v>
      </c>
      <c r="E142">
        <v>0.42087649999999999</v>
      </c>
      <c r="F142">
        <v>50.999999999999986</v>
      </c>
      <c r="G142">
        <v>15</v>
      </c>
      <c r="H142">
        <v>0.16965650643722802</v>
      </c>
      <c r="I142">
        <v>82.965650643722796</v>
      </c>
    </row>
    <row r="143" spans="1:9" x14ac:dyDescent="0.2">
      <c r="A143" t="s">
        <v>126</v>
      </c>
      <c r="B143">
        <v>2</v>
      </c>
      <c r="C143">
        <v>30</v>
      </c>
      <c r="D143" t="s">
        <v>5</v>
      </c>
      <c r="E143">
        <v>0.37371179999999998</v>
      </c>
      <c r="F143">
        <v>54.799999999999983</v>
      </c>
      <c r="G143">
        <v>27</v>
      </c>
      <c r="H143">
        <v>0.17053833060089665</v>
      </c>
      <c r="I143">
        <v>98.853833060089642</v>
      </c>
    </row>
    <row r="144" spans="1:9" x14ac:dyDescent="0.2">
      <c r="A144" t="s">
        <v>127</v>
      </c>
      <c r="B144">
        <v>2</v>
      </c>
      <c r="C144">
        <v>30</v>
      </c>
      <c r="D144" t="s">
        <v>12</v>
      </c>
      <c r="E144">
        <v>0.64569799999999999</v>
      </c>
      <c r="F144">
        <v>55.399999999999984</v>
      </c>
      <c r="G144">
        <v>17</v>
      </c>
      <c r="H144">
        <v>0.16963791265880057</v>
      </c>
      <c r="I144">
        <v>89.363791265880039</v>
      </c>
    </row>
    <row r="145" spans="1:9" x14ac:dyDescent="0.2">
      <c r="A145" t="s">
        <v>127</v>
      </c>
      <c r="B145">
        <v>2</v>
      </c>
      <c r="C145">
        <v>30</v>
      </c>
      <c r="D145" t="s">
        <v>14</v>
      </c>
      <c r="E145">
        <v>0.4075107</v>
      </c>
      <c r="F145">
        <v>52.199999999999989</v>
      </c>
      <c r="G145">
        <v>14</v>
      </c>
      <c r="H145">
        <v>0.17510348858216454</v>
      </c>
      <c r="I145">
        <v>83.710348858216435</v>
      </c>
    </row>
    <row r="146" spans="1:9" x14ac:dyDescent="0.2">
      <c r="A146" t="s">
        <v>128</v>
      </c>
      <c r="B146">
        <v>2</v>
      </c>
      <c r="C146">
        <v>30</v>
      </c>
      <c r="D146" t="s">
        <v>5</v>
      </c>
      <c r="E146">
        <v>0.37312230000000002</v>
      </c>
      <c r="F146">
        <v>54.79999999999999</v>
      </c>
      <c r="G146">
        <v>29</v>
      </c>
      <c r="H146">
        <v>0.17053833060089665</v>
      </c>
      <c r="I146">
        <v>100.85383306008966</v>
      </c>
    </row>
    <row r="147" spans="1:9" x14ac:dyDescent="0.2">
      <c r="A147" t="s">
        <v>129</v>
      </c>
      <c r="B147">
        <v>2</v>
      </c>
      <c r="C147">
        <v>30</v>
      </c>
      <c r="D147" t="s">
        <v>12</v>
      </c>
      <c r="E147">
        <v>0.67263200000000001</v>
      </c>
      <c r="F147">
        <v>55.399999999999984</v>
      </c>
      <c r="G147">
        <v>16</v>
      </c>
      <c r="H147">
        <v>0.16963791265880057</v>
      </c>
      <c r="I147">
        <v>88.363791265880039</v>
      </c>
    </row>
    <row r="148" spans="1:9" x14ac:dyDescent="0.2">
      <c r="A148" t="s">
        <v>130</v>
      </c>
      <c r="B148">
        <v>2</v>
      </c>
      <c r="C148">
        <v>30</v>
      </c>
      <c r="D148" t="s">
        <v>14</v>
      </c>
      <c r="E148">
        <v>0.40239659999999999</v>
      </c>
      <c r="F148">
        <v>50.199999999999989</v>
      </c>
      <c r="G148">
        <v>13</v>
      </c>
      <c r="H148">
        <v>0.16965650643722802</v>
      </c>
      <c r="I148">
        <v>80.165650643722785</v>
      </c>
    </row>
    <row r="149" spans="1:9" x14ac:dyDescent="0.2">
      <c r="A149" t="s">
        <v>131</v>
      </c>
      <c r="B149">
        <v>2</v>
      </c>
      <c r="C149">
        <v>30</v>
      </c>
      <c r="D149" t="s">
        <v>5</v>
      </c>
      <c r="E149">
        <v>0.38385089999999999</v>
      </c>
      <c r="F149">
        <v>52.999999999999993</v>
      </c>
      <c r="G149">
        <v>27</v>
      </c>
      <c r="H149">
        <v>0.17510348858216454</v>
      </c>
      <c r="I149">
        <v>97.510348858216446</v>
      </c>
    </row>
    <row r="150" spans="1:9" x14ac:dyDescent="0.2">
      <c r="A150" t="s">
        <v>132</v>
      </c>
      <c r="B150">
        <v>2</v>
      </c>
      <c r="C150">
        <v>30</v>
      </c>
      <c r="D150" t="s">
        <v>12</v>
      </c>
      <c r="E150">
        <v>0.66674610000000001</v>
      </c>
      <c r="F150">
        <v>55.999999999999986</v>
      </c>
      <c r="G150">
        <v>18</v>
      </c>
      <c r="H150">
        <v>0.16874398457147607</v>
      </c>
      <c r="I150">
        <v>90.874398457147592</v>
      </c>
    </row>
    <row r="151" spans="1:9" x14ac:dyDescent="0.2">
      <c r="A151" t="s">
        <v>133</v>
      </c>
      <c r="B151">
        <v>2</v>
      </c>
      <c r="C151">
        <v>30</v>
      </c>
      <c r="D151" t="s">
        <v>14</v>
      </c>
      <c r="E151">
        <v>0.443523</v>
      </c>
      <c r="F151">
        <v>50.999999999999986</v>
      </c>
      <c r="G151">
        <v>13</v>
      </c>
      <c r="H151">
        <v>0.16965650643722802</v>
      </c>
      <c r="I151">
        <v>80.965650643722796</v>
      </c>
    </row>
    <row r="152" spans="1:9" x14ac:dyDescent="0.2">
      <c r="A152" t="s">
        <v>134</v>
      </c>
      <c r="B152">
        <v>2</v>
      </c>
      <c r="C152">
        <v>30</v>
      </c>
      <c r="D152" t="s">
        <v>5</v>
      </c>
      <c r="E152">
        <v>0.37267149999999999</v>
      </c>
      <c r="F152">
        <v>54.399999999999984</v>
      </c>
      <c r="G152">
        <v>30</v>
      </c>
      <c r="H152">
        <v>0.17360739953810886</v>
      </c>
      <c r="I152">
        <v>101.76073995381087</v>
      </c>
    </row>
    <row r="153" spans="1:9" x14ac:dyDescent="0.2">
      <c r="A153" t="s">
        <v>135</v>
      </c>
      <c r="B153">
        <v>2</v>
      </c>
      <c r="C153">
        <v>30</v>
      </c>
      <c r="D153" t="s">
        <v>12</v>
      </c>
      <c r="E153">
        <v>0.66096060000000001</v>
      </c>
      <c r="F153">
        <v>55.399999999999984</v>
      </c>
      <c r="G153">
        <v>17</v>
      </c>
      <c r="H153">
        <v>0.16963791265880057</v>
      </c>
      <c r="I153">
        <v>89.363791265880039</v>
      </c>
    </row>
    <row r="154" spans="1:9" x14ac:dyDescent="0.2">
      <c r="A154" t="s">
        <v>136</v>
      </c>
      <c r="B154">
        <v>2</v>
      </c>
      <c r="C154">
        <v>30</v>
      </c>
      <c r="D154" t="s">
        <v>14</v>
      </c>
      <c r="E154">
        <v>0.43399929999999998</v>
      </c>
      <c r="F154">
        <v>52.599999999999987</v>
      </c>
      <c r="G154">
        <v>11</v>
      </c>
      <c r="H154">
        <v>0.17185368367366327</v>
      </c>
      <c r="I154">
        <v>80.785368367366317</v>
      </c>
    </row>
    <row r="155" spans="1:9" x14ac:dyDescent="0.2">
      <c r="A155" t="s">
        <v>137</v>
      </c>
      <c r="B155">
        <v>2</v>
      </c>
      <c r="C155">
        <v>30</v>
      </c>
      <c r="D155" t="s">
        <v>5</v>
      </c>
      <c r="E155">
        <v>0.38758749999999997</v>
      </c>
      <c r="F155">
        <v>53.599999999999987</v>
      </c>
      <c r="G155">
        <v>28</v>
      </c>
      <c r="H155">
        <v>0.17360739953810886</v>
      </c>
      <c r="I155">
        <v>98.960739953810872</v>
      </c>
    </row>
    <row r="156" spans="1:9" x14ac:dyDescent="0.2">
      <c r="A156" t="s">
        <v>138</v>
      </c>
      <c r="B156">
        <v>2</v>
      </c>
      <c r="C156">
        <v>30</v>
      </c>
      <c r="D156" t="s">
        <v>12</v>
      </c>
      <c r="E156">
        <v>0.65245719999999996</v>
      </c>
      <c r="F156">
        <v>55.399999999999984</v>
      </c>
      <c r="G156">
        <v>19</v>
      </c>
      <c r="H156">
        <v>0.16963791265880057</v>
      </c>
      <c r="I156">
        <v>91.363791265880039</v>
      </c>
    </row>
    <row r="157" spans="1:9" x14ac:dyDescent="0.2">
      <c r="A157" t="s">
        <v>138</v>
      </c>
      <c r="B157">
        <v>2</v>
      </c>
      <c r="C157">
        <v>30</v>
      </c>
      <c r="D157" t="s">
        <v>14</v>
      </c>
      <c r="E157">
        <v>0.43897510000000001</v>
      </c>
      <c r="F157">
        <v>51.999999999999993</v>
      </c>
      <c r="G157">
        <v>13</v>
      </c>
      <c r="H157">
        <v>0.17360739953810886</v>
      </c>
      <c r="I157">
        <v>82.360739953810878</v>
      </c>
    </row>
    <row r="158" spans="1:9" x14ac:dyDescent="0.2">
      <c r="A158" t="s">
        <v>139</v>
      </c>
      <c r="B158">
        <v>2</v>
      </c>
      <c r="C158">
        <v>30</v>
      </c>
      <c r="D158" t="s">
        <v>5</v>
      </c>
      <c r="E158">
        <v>0.386934</v>
      </c>
      <c r="F158">
        <v>56.199999999999989</v>
      </c>
      <c r="G158">
        <v>29</v>
      </c>
      <c r="H158">
        <v>0.16963791265880057</v>
      </c>
      <c r="I158">
        <v>102.16379126588005</v>
      </c>
    </row>
    <row r="159" spans="1:9" x14ac:dyDescent="0.2">
      <c r="A159" t="s">
        <v>140</v>
      </c>
      <c r="B159">
        <v>2</v>
      </c>
      <c r="C159">
        <v>30</v>
      </c>
      <c r="D159" t="s">
        <v>12</v>
      </c>
      <c r="E159">
        <v>0.67223699999999997</v>
      </c>
      <c r="F159">
        <v>54.799999999999983</v>
      </c>
      <c r="G159">
        <v>18</v>
      </c>
      <c r="H159">
        <v>0.17053833060089665</v>
      </c>
      <c r="I159">
        <v>89.853833060089642</v>
      </c>
    </row>
    <row r="160" spans="1:9" x14ac:dyDescent="0.2">
      <c r="A160" t="s">
        <v>140</v>
      </c>
      <c r="B160">
        <v>2</v>
      </c>
      <c r="C160">
        <v>30</v>
      </c>
      <c r="D160" t="s">
        <v>14</v>
      </c>
      <c r="E160">
        <v>0.44845429999999997</v>
      </c>
      <c r="F160">
        <v>50.199999999999989</v>
      </c>
      <c r="G160">
        <v>14</v>
      </c>
      <c r="H160">
        <v>0.16965650643722802</v>
      </c>
      <c r="I160">
        <v>81.165650643722785</v>
      </c>
    </row>
    <row r="161" spans="1:9" x14ac:dyDescent="0.2">
      <c r="A161" t="s">
        <v>141</v>
      </c>
      <c r="B161">
        <v>2</v>
      </c>
      <c r="C161">
        <v>30</v>
      </c>
      <c r="D161" t="s">
        <v>5</v>
      </c>
      <c r="E161">
        <v>0.38959690000000002</v>
      </c>
      <c r="F161">
        <v>56.199999999999989</v>
      </c>
      <c r="G161">
        <v>26</v>
      </c>
      <c r="H161">
        <v>0.16963791265880057</v>
      </c>
      <c r="I161">
        <v>99.16379126588005</v>
      </c>
    </row>
    <row r="162" spans="1:9" x14ac:dyDescent="0.2">
      <c r="A162" t="s">
        <v>142</v>
      </c>
      <c r="B162">
        <v>2</v>
      </c>
      <c r="C162">
        <v>30</v>
      </c>
      <c r="D162" t="s">
        <v>12</v>
      </c>
      <c r="E162">
        <v>0.65288239999999997</v>
      </c>
      <c r="F162">
        <v>55.999999999999986</v>
      </c>
      <c r="G162">
        <v>16</v>
      </c>
      <c r="H162">
        <v>0.16874398457147607</v>
      </c>
      <c r="I162">
        <v>88.874398457147592</v>
      </c>
    </row>
    <row r="163" spans="1:9" x14ac:dyDescent="0.2">
      <c r="A163" t="s">
        <v>143</v>
      </c>
      <c r="B163">
        <v>2</v>
      </c>
      <c r="C163">
        <v>30</v>
      </c>
      <c r="D163" t="s">
        <v>14</v>
      </c>
      <c r="E163">
        <v>0.44471090000000002</v>
      </c>
      <c r="F163">
        <v>52.199999999999989</v>
      </c>
      <c r="G163">
        <v>14</v>
      </c>
      <c r="H163">
        <v>0.17510348858216454</v>
      </c>
      <c r="I163">
        <v>83.710348858216435</v>
      </c>
    </row>
    <row r="164" spans="1:9" x14ac:dyDescent="0.2">
      <c r="A164" t="s">
        <v>144</v>
      </c>
      <c r="B164">
        <v>2</v>
      </c>
      <c r="C164">
        <v>30</v>
      </c>
      <c r="D164" t="s">
        <v>5</v>
      </c>
      <c r="E164">
        <v>0.40075450000000001</v>
      </c>
      <c r="F164">
        <v>57.599999999999987</v>
      </c>
      <c r="G164">
        <v>28</v>
      </c>
      <c r="H164">
        <v>0.16874398457147607</v>
      </c>
      <c r="I164">
        <v>102.4743984571476</v>
      </c>
    </row>
    <row r="165" spans="1:9" x14ac:dyDescent="0.2">
      <c r="A165" t="s">
        <v>144</v>
      </c>
      <c r="B165">
        <v>2</v>
      </c>
      <c r="C165">
        <v>30</v>
      </c>
      <c r="D165" t="s">
        <v>12</v>
      </c>
      <c r="E165">
        <v>0.66745370000000004</v>
      </c>
      <c r="F165">
        <v>55.399999999999984</v>
      </c>
      <c r="G165">
        <v>18</v>
      </c>
      <c r="H165">
        <v>0.16963791265880057</v>
      </c>
      <c r="I165">
        <v>90.363791265880039</v>
      </c>
    </row>
    <row r="166" spans="1:9" x14ac:dyDescent="0.2">
      <c r="A166" t="s">
        <v>145</v>
      </c>
      <c r="B166">
        <v>2</v>
      </c>
      <c r="C166">
        <v>30</v>
      </c>
      <c r="D166" t="s">
        <v>14</v>
      </c>
      <c r="E166">
        <v>0.42707240000000002</v>
      </c>
      <c r="F166">
        <v>51.399999999999991</v>
      </c>
      <c r="G166">
        <v>12</v>
      </c>
      <c r="H166">
        <v>0.17510348858216454</v>
      </c>
      <c r="I166">
        <v>80.910348858216452</v>
      </c>
    </row>
    <row r="167" spans="1:9" x14ac:dyDescent="0.2">
      <c r="A167" t="s">
        <v>146</v>
      </c>
      <c r="B167">
        <v>2</v>
      </c>
      <c r="C167">
        <v>30</v>
      </c>
      <c r="D167" t="s">
        <v>5</v>
      </c>
      <c r="E167">
        <v>0.39220579999999999</v>
      </c>
      <c r="F167">
        <v>57.399999999999991</v>
      </c>
      <c r="G167">
        <v>27</v>
      </c>
      <c r="H167">
        <v>0.16782264622097726</v>
      </c>
      <c r="I167">
        <v>101.18226462209772</v>
      </c>
    </row>
    <row r="168" spans="1:9" x14ac:dyDescent="0.2">
      <c r="A168" t="s">
        <v>147</v>
      </c>
      <c r="B168">
        <v>2</v>
      </c>
      <c r="C168">
        <v>30</v>
      </c>
      <c r="D168" t="s">
        <v>12</v>
      </c>
      <c r="E168">
        <v>0.68379480000000004</v>
      </c>
      <c r="F168">
        <v>55.399999999999991</v>
      </c>
      <c r="G168">
        <v>18</v>
      </c>
      <c r="H168">
        <v>0.16963791265880057</v>
      </c>
      <c r="I168">
        <v>90.363791265880053</v>
      </c>
    </row>
    <row r="169" spans="1:9" x14ac:dyDescent="0.2">
      <c r="A169" t="s">
        <v>148</v>
      </c>
      <c r="B169">
        <v>2</v>
      </c>
      <c r="C169">
        <v>30</v>
      </c>
      <c r="D169" t="s">
        <v>14</v>
      </c>
      <c r="E169">
        <v>0.4357878</v>
      </c>
      <c r="F169">
        <v>53.199999999999989</v>
      </c>
      <c r="G169">
        <v>11</v>
      </c>
      <c r="H169">
        <v>0.17053833060089665</v>
      </c>
      <c r="I169">
        <v>81.253833060089647</v>
      </c>
    </row>
    <row r="170" spans="1:9" x14ac:dyDescent="0.2">
      <c r="A170" t="s">
        <v>149</v>
      </c>
      <c r="B170">
        <v>2</v>
      </c>
      <c r="C170">
        <v>30</v>
      </c>
      <c r="D170" t="s">
        <v>5</v>
      </c>
      <c r="E170">
        <v>0.38450830000000003</v>
      </c>
      <c r="F170">
        <v>59.399999999999991</v>
      </c>
      <c r="G170">
        <v>25</v>
      </c>
      <c r="H170">
        <v>0.16607578023887712</v>
      </c>
      <c r="I170">
        <v>101.0075780238877</v>
      </c>
    </row>
    <row r="171" spans="1:9" x14ac:dyDescent="0.2">
      <c r="A171" t="s">
        <v>150</v>
      </c>
      <c r="B171">
        <v>2</v>
      </c>
      <c r="C171">
        <v>30</v>
      </c>
      <c r="D171" t="s">
        <v>12</v>
      </c>
      <c r="E171">
        <v>0.68623650000000003</v>
      </c>
      <c r="F171">
        <v>56.199999999999982</v>
      </c>
      <c r="G171">
        <v>18</v>
      </c>
      <c r="H171">
        <v>0.16963791265880057</v>
      </c>
      <c r="I171">
        <v>91.163791265880036</v>
      </c>
    </row>
    <row r="172" spans="1:9" x14ac:dyDescent="0.2">
      <c r="A172" t="s">
        <v>150</v>
      </c>
      <c r="B172">
        <v>2</v>
      </c>
      <c r="C172">
        <v>30</v>
      </c>
      <c r="D172" t="s">
        <v>14</v>
      </c>
      <c r="E172">
        <v>0.43262270000000003</v>
      </c>
      <c r="F172">
        <v>50.199999999999989</v>
      </c>
      <c r="G172">
        <v>13</v>
      </c>
      <c r="H172">
        <v>0.16965650643722802</v>
      </c>
      <c r="I172">
        <v>80.165650643722785</v>
      </c>
    </row>
    <row r="173" spans="1:9" x14ac:dyDescent="0.2">
      <c r="A173" t="s">
        <v>151</v>
      </c>
      <c r="B173">
        <v>2</v>
      </c>
      <c r="C173">
        <v>30</v>
      </c>
      <c r="D173" t="s">
        <v>5</v>
      </c>
      <c r="E173">
        <v>0.37479509999999999</v>
      </c>
      <c r="F173">
        <v>55.79999999999999</v>
      </c>
      <c r="G173">
        <v>24</v>
      </c>
      <c r="H173">
        <v>0.17185368367366327</v>
      </c>
      <c r="I173">
        <v>96.98536836736632</v>
      </c>
    </row>
    <row r="174" spans="1:9" x14ac:dyDescent="0.2">
      <c r="A174" t="s">
        <v>152</v>
      </c>
      <c r="B174">
        <v>2</v>
      </c>
      <c r="C174">
        <v>30</v>
      </c>
      <c r="D174" t="s">
        <v>12</v>
      </c>
      <c r="E174">
        <v>0.65711470000000005</v>
      </c>
      <c r="F174">
        <v>54.799999999999983</v>
      </c>
      <c r="G174">
        <v>18</v>
      </c>
      <c r="H174">
        <v>0.17053833060089665</v>
      </c>
      <c r="I174">
        <v>89.853833060089642</v>
      </c>
    </row>
    <row r="175" spans="1:9" x14ac:dyDescent="0.2">
      <c r="A175" t="s">
        <v>152</v>
      </c>
      <c r="B175">
        <v>2</v>
      </c>
      <c r="C175">
        <v>30</v>
      </c>
      <c r="D175" t="s">
        <v>14</v>
      </c>
      <c r="E175">
        <v>0.4232342</v>
      </c>
      <c r="F175">
        <v>53.79999999999999</v>
      </c>
      <c r="G175">
        <v>9</v>
      </c>
      <c r="H175">
        <v>0.16963791265880057</v>
      </c>
      <c r="I175">
        <v>79.763791265880045</v>
      </c>
    </row>
    <row r="176" spans="1:9" x14ac:dyDescent="0.2">
      <c r="A176" t="s">
        <v>153</v>
      </c>
      <c r="B176">
        <v>2</v>
      </c>
      <c r="C176">
        <v>30</v>
      </c>
      <c r="D176" t="s">
        <v>5</v>
      </c>
      <c r="E176">
        <v>0.37838850000000002</v>
      </c>
      <c r="F176">
        <v>53.599999999999987</v>
      </c>
      <c r="G176">
        <v>28</v>
      </c>
      <c r="H176">
        <v>0.17360739953810886</v>
      </c>
      <c r="I176">
        <v>98.960739953810872</v>
      </c>
    </row>
    <row r="177" spans="1:9" x14ac:dyDescent="0.2">
      <c r="A177" t="s">
        <v>154</v>
      </c>
      <c r="B177">
        <v>2</v>
      </c>
      <c r="C177">
        <v>30</v>
      </c>
      <c r="D177" t="s">
        <v>12</v>
      </c>
      <c r="E177">
        <v>0.68042469999999999</v>
      </c>
      <c r="F177">
        <v>55.399999999999984</v>
      </c>
      <c r="G177">
        <v>18</v>
      </c>
      <c r="H177">
        <v>0.16963791265880057</v>
      </c>
      <c r="I177">
        <v>90.363791265880039</v>
      </c>
    </row>
    <row r="178" spans="1:9" x14ac:dyDescent="0.2">
      <c r="A178" t="s">
        <v>155</v>
      </c>
      <c r="B178">
        <v>2</v>
      </c>
      <c r="C178">
        <v>30</v>
      </c>
      <c r="D178" t="s">
        <v>14</v>
      </c>
      <c r="E178">
        <v>0.45681539999999998</v>
      </c>
      <c r="F178">
        <v>52.199999999999989</v>
      </c>
      <c r="G178">
        <v>12</v>
      </c>
      <c r="H178">
        <v>0.17510348858216454</v>
      </c>
      <c r="I178">
        <v>81.710348858216435</v>
      </c>
    </row>
    <row r="179" spans="1:9" x14ac:dyDescent="0.2">
      <c r="A179" t="s">
        <v>156</v>
      </c>
      <c r="B179">
        <v>2</v>
      </c>
      <c r="C179">
        <v>30</v>
      </c>
      <c r="D179" t="s">
        <v>5</v>
      </c>
      <c r="E179">
        <v>0.38718079999999999</v>
      </c>
      <c r="F179">
        <v>54.999999999999986</v>
      </c>
      <c r="G179">
        <v>27</v>
      </c>
      <c r="H179">
        <v>0.17185368367366327</v>
      </c>
      <c r="I179">
        <v>99.185368367366308</v>
      </c>
    </row>
    <row r="180" spans="1:9" x14ac:dyDescent="0.2">
      <c r="A180" t="s">
        <v>157</v>
      </c>
      <c r="B180">
        <v>2</v>
      </c>
      <c r="C180">
        <v>30</v>
      </c>
      <c r="D180" t="s">
        <v>12</v>
      </c>
      <c r="E180">
        <v>0.64334080000000005</v>
      </c>
      <c r="F180">
        <v>55.599999999999987</v>
      </c>
      <c r="G180">
        <v>18</v>
      </c>
      <c r="H180">
        <v>0.17053833060089665</v>
      </c>
      <c r="I180">
        <v>90.653833060089653</v>
      </c>
    </row>
    <row r="181" spans="1:9" x14ac:dyDescent="0.2">
      <c r="A181" t="s">
        <v>157</v>
      </c>
      <c r="B181">
        <v>2</v>
      </c>
      <c r="C181">
        <v>30</v>
      </c>
      <c r="D181" t="s">
        <v>14</v>
      </c>
      <c r="E181">
        <v>0.43459160000000002</v>
      </c>
      <c r="F181">
        <v>51.999999999999993</v>
      </c>
      <c r="G181">
        <v>13</v>
      </c>
      <c r="H181">
        <v>0.17360739953810886</v>
      </c>
      <c r="I181">
        <v>82.360739953810878</v>
      </c>
    </row>
    <row r="182" spans="1:9" x14ac:dyDescent="0.2">
      <c r="A182" t="s">
        <v>158</v>
      </c>
      <c r="B182">
        <v>2</v>
      </c>
      <c r="C182">
        <v>30</v>
      </c>
      <c r="D182" t="s">
        <v>5</v>
      </c>
      <c r="E182">
        <v>0.37231819999999999</v>
      </c>
      <c r="F182">
        <v>57.599999999999987</v>
      </c>
      <c r="G182">
        <v>24</v>
      </c>
      <c r="H182">
        <v>0.16874398457147607</v>
      </c>
      <c r="I182">
        <v>98.474398457147601</v>
      </c>
    </row>
    <row r="183" spans="1:9" x14ac:dyDescent="0.2">
      <c r="A183" t="s">
        <v>159</v>
      </c>
      <c r="B183">
        <v>2</v>
      </c>
      <c r="C183">
        <v>30</v>
      </c>
      <c r="D183" t="s">
        <v>12</v>
      </c>
      <c r="E183">
        <v>0.66067100000000001</v>
      </c>
      <c r="F183">
        <v>55.399999999999984</v>
      </c>
      <c r="G183">
        <v>18</v>
      </c>
      <c r="H183">
        <v>0.16963791265880057</v>
      </c>
      <c r="I183">
        <v>90.363791265880039</v>
      </c>
    </row>
    <row r="184" spans="1:9" x14ac:dyDescent="0.2">
      <c r="A184" t="s">
        <v>160</v>
      </c>
      <c r="B184">
        <v>2</v>
      </c>
      <c r="C184">
        <v>30</v>
      </c>
      <c r="D184" t="s">
        <v>14</v>
      </c>
      <c r="E184">
        <v>0.44885399999999998</v>
      </c>
      <c r="F184">
        <v>51.999999999999993</v>
      </c>
      <c r="G184">
        <v>11</v>
      </c>
      <c r="H184">
        <v>0.17360739953810886</v>
      </c>
      <c r="I184">
        <v>80.360739953810878</v>
      </c>
    </row>
    <row r="185" spans="1:9" x14ac:dyDescent="0.2">
      <c r="A185" t="s">
        <v>161</v>
      </c>
      <c r="B185">
        <v>2</v>
      </c>
      <c r="C185">
        <v>30</v>
      </c>
      <c r="D185" t="s">
        <v>5</v>
      </c>
      <c r="E185">
        <v>0.37593320000000002</v>
      </c>
      <c r="F185">
        <v>56.199999999999989</v>
      </c>
      <c r="G185">
        <v>26</v>
      </c>
      <c r="H185">
        <v>0.16963791265880057</v>
      </c>
      <c r="I185">
        <v>99.16379126588005</v>
      </c>
    </row>
    <row r="186" spans="1:9" x14ac:dyDescent="0.2">
      <c r="A186" t="s">
        <v>162</v>
      </c>
      <c r="B186">
        <v>2</v>
      </c>
      <c r="C186">
        <v>30</v>
      </c>
      <c r="D186" t="s">
        <v>12</v>
      </c>
      <c r="E186">
        <v>0.67571859999999995</v>
      </c>
      <c r="F186">
        <v>53.399999999999991</v>
      </c>
      <c r="G186">
        <v>22</v>
      </c>
      <c r="H186">
        <v>0.17185368367366327</v>
      </c>
      <c r="I186">
        <v>92.585368367366314</v>
      </c>
    </row>
    <row r="187" spans="1:9" x14ac:dyDescent="0.2">
      <c r="A187" t="s">
        <v>163</v>
      </c>
      <c r="B187">
        <v>2</v>
      </c>
      <c r="C187">
        <v>30</v>
      </c>
      <c r="D187" t="s">
        <v>14</v>
      </c>
      <c r="E187">
        <v>0.43651089999999998</v>
      </c>
      <c r="F187">
        <v>50.199999999999989</v>
      </c>
      <c r="G187">
        <v>13</v>
      </c>
      <c r="H187">
        <v>0.16965650643722802</v>
      </c>
      <c r="I187">
        <v>80.165650643722785</v>
      </c>
    </row>
    <row r="188" spans="1:9" x14ac:dyDescent="0.2">
      <c r="A188" t="s">
        <v>164</v>
      </c>
      <c r="B188">
        <v>2</v>
      </c>
      <c r="C188">
        <v>30</v>
      </c>
      <c r="D188" t="s">
        <v>5</v>
      </c>
      <c r="E188">
        <v>0.38339859999999998</v>
      </c>
      <c r="F188">
        <v>53.599999999999987</v>
      </c>
      <c r="G188">
        <v>31</v>
      </c>
      <c r="H188">
        <v>0.17360739953810886</v>
      </c>
      <c r="I188">
        <v>101.96073995381087</v>
      </c>
    </row>
    <row r="189" spans="1:9" x14ac:dyDescent="0.2">
      <c r="A189" t="s">
        <v>165</v>
      </c>
      <c r="B189">
        <v>2</v>
      </c>
      <c r="C189">
        <v>30</v>
      </c>
      <c r="D189" t="s">
        <v>12</v>
      </c>
      <c r="E189">
        <v>0.6636782</v>
      </c>
      <c r="F189">
        <v>55.999999999999986</v>
      </c>
      <c r="G189">
        <v>18</v>
      </c>
      <c r="H189">
        <v>0.16874398457147607</v>
      </c>
      <c r="I189">
        <v>90.874398457147592</v>
      </c>
    </row>
    <row r="190" spans="1:9" x14ac:dyDescent="0.2">
      <c r="A190" t="s">
        <v>165</v>
      </c>
      <c r="B190">
        <v>2</v>
      </c>
      <c r="C190">
        <v>30</v>
      </c>
      <c r="D190" t="s">
        <v>14</v>
      </c>
      <c r="E190">
        <v>0.43980910000000001</v>
      </c>
      <c r="F190">
        <v>51.399999999999991</v>
      </c>
      <c r="G190">
        <v>11</v>
      </c>
      <c r="H190">
        <v>0.17510348858216454</v>
      </c>
      <c r="I190">
        <v>79.910348858216452</v>
      </c>
    </row>
    <row r="191" spans="1:9" x14ac:dyDescent="0.2">
      <c r="A191" t="s">
        <v>166</v>
      </c>
      <c r="B191">
        <v>1</v>
      </c>
      <c r="C191">
        <v>20</v>
      </c>
      <c r="D191" t="s">
        <v>5</v>
      </c>
      <c r="E191">
        <v>0.24746840000000001</v>
      </c>
      <c r="F191">
        <v>34.399999999999991</v>
      </c>
      <c r="G191">
        <v>13</v>
      </c>
      <c r="H191">
        <v>0.25436518859153151</v>
      </c>
      <c r="I191">
        <v>72.836518859153145</v>
      </c>
    </row>
    <row r="192" spans="1:9" x14ac:dyDescent="0.2">
      <c r="A192" t="s">
        <v>167</v>
      </c>
      <c r="B192">
        <v>1</v>
      </c>
      <c r="C192">
        <v>20</v>
      </c>
      <c r="D192" t="s">
        <v>12</v>
      </c>
      <c r="E192">
        <v>0.4422854</v>
      </c>
      <c r="F192">
        <v>33.199999999999996</v>
      </c>
      <c r="G192">
        <v>8</v>
      </c>
      <c r="H192">
        <v>0.2536752734581047</v>
      </c>
      <c r="I192">
        <v>66.567527345810461</v>
      </c>
    </row>
    <row r="193" spans="1:9" x14ac:dyDescent="0.2">
      <c r="A193" t="s">
        <v>167</v>
      </c>
      <c r="B193">
        <v>1</v>
      </c>
      <c r="C193">
        <v>20</v>
      </c>
      <c r="D193" t="s">
        <v>14</v>
      </c>
      <c r="E193">
        <v>0.2961799</v>
      </c>
      <c r="F193">
        <v>32.599999999999994</v>
      </c>
      <c r="G193">
        <v>9</v>
      </c>
      <c r="H193">
        <v>0.22930185843997941</v>
      </c>
      <c r="I193">
        <v>64.530185843997941</v>
      </c>
    </row>
    <row r="194" spans="1:9" x14ac:dyDescent="0.2">
      <c r="A194" t="s">
        <v>168</v>
      </c>
      <c r="B194">
        <v>1</v>
      </c>
      <c r="C194">
        <v>20</v>
      </c>
      <c r="D194" t="s">
        <v>5</v>
      </c>
      <c r="E194">
        <v>0.2413209</v>
      </c>
      <c r="F194">
        <v>33.399999999999991</v>
      </c>
      <c r="G194">
        <v>16</v>
      </c>
      <c r="H194">
        <v>0.22930185843997941</v>
      </c>
      <c r="I194">
        <v>72.330185843997924</v>
      </c>
    </row>
    <row r="195" spans="1:9" x14ac:dyDescent="0.2">
      <c r="A195" t="s">
        <v>169</v>
      </c>
      <c r="B195">
        <v>1</v>
      </c>
      <c r="C195">
        <v>20</v>
      </c>
      <c r="D195" t="s">
        <v>12</v>
      </c>
      <c r="E195">
        <v>0.41724240000000001</v>
      </c>
      <c r="F195">
        <v>33.199999999999996</v>
      </c>
      <c r="G195">
        <v>8</v>
      </c>
      <c r="H195">
        <v>0.2536752734581047</v>
      </c>
      <c r="I195">
        <v>66.567527345810461</v>
      </c>
    </row>
    <row r="196" spans="1:9" x14ac:dyDescent="0.2">
      <c r="A196" t="s">
        <v>169</v>
      </c>
      <c r="B196">
        <v>1</v>
      </c>
      <c r="C196">
        <v>20</v>
      </c>
      <c r="D196" t="s">
        <v>14</v>
      </c>
      <c r="E196">
        <v>0.29580859999999998</v>
      </c>
      <c r="F196">
        <v>32.599999999999994</v>
      </c>
      <c r="G196">
        <v>10</v>
      </c>
      <c r="H196">
        <v>0.22930185843997941</v>
      </c>
      <c r="I196">
        <v>65.530185843997941</v>
      </c>
    </row>
    <row r="197" spans="1:9" x14ac:dyDescent="0.2">
      <c r="A197" t="s">
        <v>170</v>
      </c>
      <c r="B197">
        <v>1</v>
      </c>
      <c r="C197">
        <v>20</v>
      </c>
      <c r="D197" t="s">
        <v>5</v>
      </c>
      <c r="E197">
        <v>0.26988990000000002</v>
      </c>
      <c r="F197">
        <v>35.599999999999994</v>
      </c>
      <c r="G197">
        <v>12</v>
      </c>
      <c r="H197">
        <v>0.24872844423256968</v>
      </c>
      <c r="I197">
        <v>72.472844423256959</v>
      </c>
    </row>
    <row r="198" spans="1:9" x14ac:dyDescent="0.2">
      <c r="A198" t="s">
        <v>170</v>
      </c>
      <c r="B198">
        <v>1</v>
      </c>
      <c r="C198">
        <v>20</v>
      </c>
      <c r="D198" t="s">
        <v>12</v>
      </c>
      <c r="E198">
        <v>0.41192780000000001</v>
      </c>
      <c r="F198">
        <v>32.599999999999994</v>
      </c>
      <c r="G198">
        <v>8</v>
      </c>
      <c r="H198">
        <v>0.22930185843997941</v>
      </c>
      <c r="I198">
        <v>63.530185843997934</v>
      </c>
    </row>
    <row r="199" spans="1:9" x14ac:dyDescent="0.2">
      <c r="A199" t="s">
        <v>171</v>
      </c>
      <c r="B199">
        <v>1</v>
      </c>
      <c r="C199">
        <v>20</v>
      </c>
      <c r="D199" t="s">
        <v>14</v>
      </c>
      <c r="E199">
        <v>0.29003960000000001</v>
      </c>
      <c r="F199">
        <v>32.599999999999994</v>
      </c>
      <c r="G199">
        <v>9</v>
      </c>
      <c r="H199">
        <v>0.22930185843997941</v>
      </c>
      <c r="I199">
        <v>64.530185843997941</v>
      </c>
    </row>
    <row r="200" spans="1:9" x14ac:dyDescent="0.2">
      <c r="A200" t="s">
        <v>172</v>
      </c>
      <c r="B200">
        <v>1</v>
      </c>
      <c r="C200">
        <v>20</v>
      </c>
      <c r="D200" t="s">
        <v>5</v>
      </c>
      <c r="E200">
        <v>0.26107190000000002</v>
      </c>
      <c r="F200">
        <v>32.599999999999994</v>
      </c>
      <c r="G200">
        <v>16</v>
      </c>
      <c r="H200">
        <v>0.22930185843997941</v>
      </c>
      <c r="I200">
        <v>71.530185843997941</v>
      </c>
    </row>
    <row r="201" spans="1:9" x14ac:dyDescent="0.2">
      <c r="A201" t="s">
        <v>173</v>
      </c>
      <c r="B201">
        <v>1</v>
      </c>
      <c r="C201">
        <v>20</v>
      </c>
      <c r="D201" t="s">
        <v>12</v>
      </c>
      <c r="E201">
        <v>0.40802870000000002</v>
      </c>
      <c r="F201">
        <v>32.599999999999994</v>
      </c>
      <c r="G201">
        <v>8</v>
      </c>
      <c r="H201">
        <v>0.22930185843997941</v>
      </c>
      <c r="I201">
        <v>63.530185843997934</v>
      </c>
    </row>
    <row r="202" spans="1:9" x14ac:dyDescent="0.2">
      <c r="A202" t="s">
        <v>173</v>
      </c>
      <c r="B202">
        <v>1</v>
      </c>
      <c r="C202">
        <v>20</v>
      </c>
      <c r="D202" t="s">
        <v>14</v>
      </c>
      <c r="E202">
        <v>0.27265339999999999</v>
      </c>
      <c r="F202">
        <v>32.599999999999994</v>
      </c>
      <c r="G202">
        <v>9</v>
      </c>
      <c r="H202">
        <v>0.22930185843997941</v>
      </c>
      <c r="I202">
        <v>64.530185843997941</v>
      </c>
    </row>
    <row r="203" spans="1:9" x14ac:dyDescent="0.2">
      <c r="A203" t="s">
        <v>174</v>
      </c>
      <c r="B203">
        <v>1</v>
      </c>
      <c r="C203">
        <v>20</v>
      </c>
      <c r="D203" t="s">
        <v>5</v>
      </c>
      <c r="E203">
        <v>0.26651560000000002</v>
      </c>
      <c r="F203">
        <v>33.199999999999996</v>
      </c>
      <c r="G203">
        <v>14</v>
      </c>
      <c r="H203">
        <v>0.2536752734581047</v>
      </c>
      <c r="I203">
        <v>72.567527345810461</v>
      </c>
    </row>
    <row r="204" spans="1:9" x14ac:dyDescent="0.2">
      <c r="A204" t="s">
        <v>174</v>
      </c>
      <c r="B204">
        <v>1</v>
      </c>
      <c r="C204">
        <v>20</v>
      </c>
      <c r="D204" t="s">
        <v>12</v>
      </c>
      <c r="E204">
        <v>0.40757339999999997</v>
      </c>
      <c r="F204">
        <v>33.199999999999996</v>
      </c>
      <c r="G204">
        <v>8</v>
      </c>
      <c r="H204">
        <v>0.2536752734581047</v>
      </c>
      <c r="I204">
        <v>66.567527345810461</v>
      </c>
    </row>
    <row r="205" spans="1:9" x14ac:dyDescent="0.2">
      <c r="A205" t="s">
        <v>175</v>
      </c>
      <c r="B205">
        <v>1</v>
      </c>
      <c r="C205">
        <v>20</v>
      </c>
      <c r="D205" t="s">
        <v>14</v>
      </c>
      <c r="E205">
        <v>0.29234139999999997</v>
      </c>
      <c r="F205">
        <v>32.599999999999994</v>
      </c>
      <c r="G205">
        <v>9</v>
      </c>
      <c r="H205">
        <v>0.22930185843997941</v>
      </c>
      <c r="I205">
        <v>64.530185843997941</v>
      </c>
    </row>
    <row r="206" spans="1:9" x14ac:dyDescent="0.2">
      <c r="A206" t="s">
        <v>176</v>
      </c>
      <c r="B206">
        <v>1</v>
      </c>
      <c r="C206">
        <v>20</v>
      </c>
      <c r="D206" t="s">
        <v>5</v>
      </c>
      <c r="E206">
        <v>0.26807809999999999</v>
      </c>
      <c r="F206">
        <v>33.799999999999997</v>
      </c>
      <c r="G206">
        <v>11</v>
      </c>
      <c r="H206">
        <v>0.25794332381556018</v>
      </c>
      <c r="I206">
        <v>70.594332381556015</v>
      </c>
    </row>
    <row r="207" spans="1:9" x14ac:dyDescent="0.2">
      <c r="A207" t="s">
        <v>177</v>
      </c>
      <c r="B207">
        <v>1</v>
      </c>
      <c r="C207">
        <v>20</v>
      </c>
      <c r="D207" t="s">
        <v>12</v>
      </c>
      <c r="E207">
        <v>0.4258633</v>
      </c>
      <c r="F207">
        <v>33.199999999999996</v>
      </c>
      <c r="G207">
        <v>8</v>
      </c>
      <c r="H207">
        <v>0.2536752734581047</v>
      </c>
      <c r="I207">
        <v>66.567527345810461</v>
      </c>
    </row>
    <row r="208" spans="1:9" x14ac:dyDescent="0.2">
      <c r="A208" t="s">
        <v>177</v>
      </c>
      <c r="B208">
        <v>1</v>
      </c>
      <c r="C208">
        <v>20</v>
      </c>
      <c r="D208" t="s">
        <v>14</v>
      </c>
      <c r="E208">
        <v>0.28776610000000002</v>
      </c>
      <c r="F208">
        <v>32.599999999999994</v>
      </c>
      <c r="G208">
        <v>10</v>
      </c>
      <c r="H208">
        <v>0.22930185843997941</v>
      </c>
      <c r="I208">
        <v>65.530185843997941</v>
      </c>
    </row>
    <row r="209" spans="1:9" x14ac:dyDescent="0.2">
      <c r="A209" t="s">
        <v>178</v>
      </c>
      <c r="B209">
        <v>1</v>
      </c>
      <c r="C209">
        <v>20</v>
      </c>
      <c r="D209" t="s">
        <v>5</v>
      </c>
      <c r="E209">
        <v>0.2590403</v>
      </c>
      <c r="F209">
        <v>35</v>
      </c>
      <c r="G209">
        <v>13</v>
      </c>
      <c r="H209">
        <v>0.25094783918674474</v>
      </c>
      <c r="I209">
        <v>73.094783918674466</v>
      </c>
    </row>
    <row r="210" spans="1:9" x14ac:dyDescent="0.2">
      <c r="A210" t="s">
        <v>178</v>
      </c>
      <c r="B210">
        <v>1</v>
      </c>
      <c r="C210">
        <v>20</v>
      </c>
      <c r="D210" t="s">
        <v>12</v>
      </c>
      <c r="E210">
        <v>0.40152409999999999</v>
      </c>
      <c r="F210">
        <v>33.199999999999996</v>
      </c>
      <c r="G210">
        <v>8</v>
      </c>
      <c r="H210">
        <v>0.2536752734581047</v>
      </c>
      <c r="I210">
        <v>66.567527345810461</v>
      </c>
    </row>
    <row r="211" spans="1:9" x14ac:dyDescent="0.2">
      <c r="A211" t="s">
        <v>179</v>
      </c>
      <c r="B211">
        <v>1</v>
      </c>
      <c r="C211">
        <v>20</v>
      </c>
      <c r="D211" t="s">
        <v>14</v>
      </c>
      <c r="E211">
        <v>0.28113369999999999</v>
      </c>
      <c r="F211">
        <v>32.599999999999994</v>
      </c>
      <c r="G211">
        <v>11</v>
      </c>
      <c r="H211">
        <v>0.22930185843997941</v>
      </c>
      <c r="I211">
        <v>66.530185843997941</v>
      </c>
    </row>
    <row r="212" spans="1:9" x14ac:dyDescent="0.2">
      <c r="A212" t="s">
        <v>180</v>
      </c>
      <c r="B212">
        <v>1</v>
      </c>
      <c r="C212">
        <v>20</v>
      </c>
      <c r="D212" t="s">
        <v>5</v>
      </c>
      <c r="E212">
        <v>0.2430049</v>
      </c>
      <c r="F212">
        <v>35.599999999999994</v>
      </c>
      <c r="G212">
        <v>12</v>
      </c>
      <c r="H212">
        <v>0.24872844423256968</v>
      </c>
      <c r="I212">
        <v>72.472844423256959</v>
      </c>
    </row>
    <row r="213" spans="1:9" x14ac:dyDescent="0.2">
      <c r="A213" t="s">
        <v>180</v>
      </c>
      <c r="B213">
        <v>1</v>
      </c>
      <c r="C213">
        <v>20</v>
      </c>
      <c r="D213" t="s">
        <v>12</v>
      </c>
      <c r="E213">
        <v>0.40436349999999999</v>
      </c>
      <c r="F213">
        <v>33.199999999999996</v>
      </c>
      <c r="G213">
        <v>8</v>
      </c>
      <c r="H213">
        <v>0.2536752734581047</v>
      </c>
      <c r="I213">
        <v>66.567527345810461</v>
      </c>
    </row>
    <row r="214" spans="1:9" x14ac:dyDescent="0.2">
      <c r="A214" t="s">
        <v>181</v>
      </c>
      <c r="B214">
        <v>1</v>
      </c>
      <c r="C214">
        <v>20</v>
      </c>
      <c r="D214" t="s">
        <v>14</v>
      </c>
      <c r="E214">
        <v>0.26490829999999999</v>
      </c>
      <c r="F214">
        <v>33.399999999999991</v>
      </c>
      <c r="G214">
        <v>11</v>
      </c>
      <c r="H214">
        <v>0.22930185843997941</v>
      </c>
      <c r="I214">
        <v>67.330185843997924</v>
      </c>
    </row>
    <row r="215" spans="1:9" x14ac:dyDescent="0.2">
      <c r="A215" t="s">
        <v>182</v>
      </c>
      <c r="B215">
        <v>1</v>
      </c>
      <c r="C215">
        <v>20</v>
      </c>
      <c r="D215" t="s">
        <v>5</v>
      </c>
      <c r="E215">
        <v>0.25031779999999998</v>
      </c>
      <c r="F215">
        <v>32.599999999999994</v>
      </c>
      <c r="G215">
        <v>11</v>
      </c>
      <c r="H215">
        <v>0.22930185843997941</v>
      </c>
      <c r="I215">
        <v>66.530185843997941</v>
      </c>
    </row>
    <row r="216" spans="1:9" x14ac:dyDescent="0.2">
      <c r="A216" t="s">
        <v>183</v>
      </c>
      <c r="B216">
        <v>1</v>
      </c>
      <c r="C216">
        <v>20</v>
      </c>
      <c r="D216" t="s">
        <v>12</v>
      </c>
      <c r="E216">
        <v>0.41506100000000001</v>
      </c>
      <c r="F216">
        <v>32.599999999999994</v>
      </c>
      <c r="G216">
        <v>8</v>
      </c>
      <c r="H216">
        <v>0.22930185843997941</v>
      </c>
      <c r="I216">
        <v>63.530185843997934</v>
      </c>
    </row>
    <row r="217" spans="1:9" x14ac:dyDescent="0.2">
      <c r="A217" t="s">
        <v>183</v>
      </c>
      <c r="B217">
        <v>1</v>
      </c>
      <c r="C217">
        <v>20</v>
      </c>
      <c r="D217" t="s">
        <v>14</v>
      </c>
      <c r="E217">
        <v>0.28403430000000002</v>
      </c>
      <c r="F217">
        <v>32.599999999999994</v>
      </c>
      <c r="G217">
        <v>9</v>
      </c>
      <c r="H217">
        <v>0.22930185843997941</v>
      </c>
      <c r="I217">
        <v>64.530185843997941</v>
      </c>
    </row>
    <row r="218" spans="1:9" x14ac:dyDescent="0.2">
      <c r="A218" t="s">
        <v>184</v>
      </c>
      <c r="B218">
        <v>1</v>
      </c>
      <c r="C218">
        <v>20</v>
      </c>
      <c r="D218" t="s">
        <v>5</v>
      </c>
      <c r="E218">
        <v>0.25289220000000001</v>
      </c>
      <c r="F218">
        <v>33.199999999999996</v>
      </c>
      <c r="G218">
        <v>14</v>
      </c>
      <c r="H218">
        <v>0.2536752734581047</v>
      </c>
      <c r="I218">
        <v>72.567527345810461</v>
      </c>
    </row>
    <row r="219" spans="1:9" x14ac:dyDescent="0.2">
      <c r="A219" t="s">
        <v>185</v>
      </c>
      <c r="B219">
        <v>1</v>
      </c>
      <c r="C219">
        <v>20</v>
      </c>
      <c r="D219" t="s">
        <v>12</v>
      </c>
      <c r="E219">
        <v>0.38256669999999998</v>
      </c>
      <c r="F219">
        <v>32.599999999999994</v>
      </c>
      <c r="G219">
        <v>9</v>
      </c>
      <c r="H219">
        <v>0.22930185843997941</v>
      </c>
      <c r="I219">
        <v>64.530185843997941</v>
      </c>
    </row>
    <row r="220" spans="1:9" x14ac:dyDescent="0.2">
      <c r="A220" t="s">
        <v>185</v>
      </c>
      <c r="B220">
        <v>1</v>
      </c>
      <c r="C220">
        <v>20</v>
      </c>
      <c r="D220" t="s">
        <v>14</v>
      </c>
      <c r="E220">
        <v>0.2749239</v>
      </c>
      <c r="F220">
        <v>32.599999999999994</v>
      </c>
      <c r="G220">
        <v>10</v>
      </c>
      <c r="H220">
        <v>0.22930185843997941</v>
      </c>
      <c r="I220">
        <v>65.530185843997941</v>
      </c>
    </row>
    <row r="221" spans="1:9" x14ac:dyDescent="0.2">
      <c r="A221" t="s">
        <v>186</v>
      </c>
      <c r="B221">
        <v>1</v>
      </c>
      <c r="C221">
        <v>20</v>
      </c>
      <c r="D221" t="s">
        <v>5</v>
      </c>
      <c r="E221">
        <v>0.24691450000000001</v>
      </c>
      <c r="F221">
        <v>32.599999999999994</v>
      </c>
      <c r="G221">
        <v>12</v>
      </c>
      <c r="H221">
        <v>0.22930185843997941</v>
      </c>
      <c r="I221">
        <v>67.530185843997941</v>
      </c>
    </row>
    <row r="222" spans="1:9" x14ac:dyDescent="0.2">
      <c r="A222" t="s">
        <v>186</v>
      </c>
      <c r="B222">
        <v>1</v>
      </c>
      <c r="C222">
        <v>20</v>
      </c>
      <c r="D222" t="s">
        <v>12</v>
      </c>
      <c r="E222">
        <v>0.40756959999999998</v>
      </c>
      <c r="F222">
        <v>33.199999999999996</v>
      </c>
      <c r="G222">
        <v>8</v>
      </c>
      <c r="H222">
        <v>0.2536752734581047</v>
      </c>
      <c r="I222">
        <v>66.567527345810461</v>
      </c>
    </row>
    <row r="223" spans="1:9" x14ac:dyDescent="0.2">
      <c r="A223" t="s">
        <v>187</v>
      </c>
      <c r="B223">
        <v>1</v>
      </c>
      <c r="C223">
        <v>20</v>
      </c>
      <c r="D223" t="s">
        <v>14</v>
      </c>
      <c r="E223">
        <v>0.27077250000000003</v>
      </c>
      <c r="F223">
        <v>32.599999999999994</v>
      </c>
      <c r="G223">
        <v>9</v>
      </c>
      <c r="H223">
        <v>0.22930185843997941</v>
      </c>
      <c r="I223">
        <v>64.530185843997941</v>
      </c>
    </row>
    <row r="224" spans="1:9" x14ac:dyDescent="0.2">
      <c r="A224" t="s">
        <v>188</v>
      </c>
      <c r="B224">
        <v>1</v>
      </c>
      <c r="C224">
        <v>20</v>
      </c>
      <c r="D224" t="s">
        <v>5</v>
      </c>
      <c r="E224">
        <v>0.24701980000000001</v>
      </c>
      <c r="F224">
        <v>35</v>
      </c>
      <c r="G224">
        <v>12</v>
      </c>
      <c r="H224">
        <v>0.25094783918674474</v>
      </c>
      <c r="I224">
        <v>72.094783918674466</v>
      </c>
    </row>
    <row r="225" spans="1:9" x14ac:dyDescent="0.2">
      <c r="A225" t="s">
        <v>189</v>
      </c>
      <c r="B225">
        <v>1</v>
      </c>
      <c r="C225">
        <v>20</v>
      </c>
      <c r="D225" t="s">
        <v>12</v>
      </c>
      <c r="E225">
        <v>0.41694599999999998</v>
      </c>
      <c r="F225">
        <v>32.599999999999994</v>
      </c>
      <c r="G225">
        <v>11</v>
      </c>
      <c r="H225">
        <v>0.22930185843997941</v>
      </c>
      <c r="I225">
        <v>66.530185843997941</v>
      </c>
    </row>
    <row r="226" spans="1:9" x14ac:dyDescent="0.2">
      <c r="A226" t="s">
        <v>189</v>
      </c>
      <c r="B226">
        <v>1</v>
      </c>
      <c r="C226">
        <v>20</v>
      </c>
      <c r="D226" t="s">
        <v>14</v>
      </c>
      <c r="E226">
        <v>0.28105819999999998</v>
      </c>
      <c r="F226">
        <v>32.599999999999994</v>
      </c>
      <c r="G226">
        <v>9</v>
      </c>
      <c r="H226">
        <v>0.22930185843997941</v>
      </c>
      <c r="I226">
        <v>64.530185843997941</v>
      </c>
    </row>
    <row r="227" spans="1:9" x14ac:dyDescent="0.2">
      <c r="A227" t="s">
        <v>190</v>
      </c>
      <c r="B227">
        <v>1</v>
      </c>
      <c r="C227">
        <v>20</v>
      </c>
      <c r="D227" t="s">
        <v>5</v>
      </c>
      <c r="E227">
        <v>0.2505599</v>
      </c>
      <c r="F227">
        <v>34.399999999999991</v>
      </c>
      <c r="G227">
        <v>12</v>
      </c>
      <c r="H227">
        <v>0.25436518859153151</v>
      </c>
      <c r="I227">
        <v>71.836518859153145</v>
      </c>
    </row>
    <row r="228" spans="1:9" x14ac:dyDescent="0.2">
      <c r="A228" t="s">
        <v>191</v>
      </c>
      <c r="B228">
        <v>1</v>
      </c>
      <c r="C228">
        <v>20</v>
      </c>
      <c r="D228" t="s">
        <v>12</v>
      </c>
      <c r="E228">
        <v>0.41766330000000002</v>
      </c>
      <c r="F228">
        <v>33.199999999999996</v>
      </c>
      <c r="G228">
        <v>8</v>
      </c>
      <c r="H228">
        <v>0.2536752734581047</v>
      </c>
      <c r="I228">
        <v>66.567527345810461</v>
      </c>
    </row>
    <row r="229" spans="1:9" x14ac:dyDescent="0.2">
      <c r="A229" t="s">
        <v>191</v>
      </c>
      <c r="B229">
        <v>1</v>
      </c>
      <c r="C229">
        <v>20</v>
      </c>
      <c r="D229" t="s">
        <v>14</v>
      </c>
      <c r="E229">
        <v>0.27112259999999999</v>
      </c>
      <c r="F229">
        <v>32.599999999999994</v>
      </c>
      <c r="G229">
        <v>9</v>
      </c>
      <c r="H229">
        <v>0.22930185843997941</v>
      </c>
      <c r="I229">
        <v>64.530185843997941</v>
      </c>
    </row>
    <row r="230" spans="1:9" x14ac:dyDescent="0.2">
      <c r="A230" t="s">
        <v>192</v>
      </c>
      <c r="B230">
        <v>1</v>
      </c>
      <c r="C230">
        <v>20</v>
      </c>
      <c r="D230" t="s">
        <v>5</v>
      </c>
      <c r="E230">
        <v>0.25977099999999997</v>
      </c>
      <c r="F230">
        <v>32.599999999999994</v>
      </c>
      <c r="G230">
        <v>16</v>
      </c>
      <c r="H230">
        <v>0.22930185843997941</v>
      </c>
      <c r="I230">
        <v>71.530185843997941</v>
      </c>
    </row>
    <row r="231" spans="1:9" x14ac:dyDescent="0.2">
      <c r="A231" t="s">
        <v>193</v>
      </c>
      <c r="B231">
        <v>1</v>
      </c>
      <c r="C231">
        <v>20</v>
      </c>
      <c r="D231" t="s">
        <v>12</v>
      </c>
      <c r="E231">
        <v>0.43754979999999999</v>
      </c>
      <c r="F231">
        <v>32.599999999999994</v>
      </c>
      <c r="G231">
        <v>9</v>
      </c>
      <c r="H231">
        <v>0.22930185843997941</v>
      </c>
      <c r="I231">
        <v>64.530185843997941</v>
      </c>
    </row>
    <row r="232" spans="1:9" x14ac:dyDescent="0.2">
      <c r="A232" t="s">
        <v>193</v>
      </c>
      <c r="B232">
        <v>1</v>
      </c>
      <c r="C232">
        <v>20</v>
      </c>
      <c r="D232" t="s">
        <v>14</v>
      </c>
      <c r="E232">
        <v>0.29162320000000003</v>
      </c>
      <c r="F232">
        <v>32.599999999999994</v>
      </c>
      <c r="G232">
        <v>9</v>
      </c>
      <c r="H232">
        <v>0.22930185843997941</v>
      </c>
      <c r="I232">
        <v>64.530185843997941</v>
      </c>
    </row>
    <row r="233" spans="1:9" x14ac:dyDescent="0.2">
      <c r="A233" t="s">
        <v>194</v>
      </c>
      <c r="B233">
        <v>1</v>
      </c>
      <c r="C233">
        <v>20</v>
      </c>
      <c r="D233" t="s">
        <v>5</v>
      </c>
      <c r="E233">
        <v>0.24693010000000001</v>
      </c>
      <c r="F233">
        <v>33.199999999999996</v>
      </c>
      <c r="G233">
        <v>12</v>
      </c>
      <c r="H233">
        <v>0.2536752734581047</v>
      </c>
      <c r="I233">
        <v>70.567527345810461</v>
      </c>
    </row>
    <row r="234" spans="1:9" x14ac:dyDescent="0.2">
      <c r="A234" t="s">
        <v>194</v>
      </c>
      <c r="B234">
        <v>1</v>
      </c>
      <c r="C234">
        <v>20</v>
      </c>
      <c r="D234" t="s">
        <v>12</v>
      </c>
      <c r="E234">
        <v>0.41211110000000001</v>
      </c>
      <c r="F234">
        <v>32.599999999999994</v>
      </c>
      <c r="G234">
        <v>9</v>
      </c>
      <c r="H234">
        <v>0.22930185843997941</v>
      </c>
      <c r="I234">
        <v>64.530185843997941</v>
      </c>
    </row>
    <row r="235" spans="1:9" x14ac:dyDescent="0.2">
      <c r="A235" t="s">
        <v>195</v>
      </c>
      <c r="B235">
        <v>1</v>
      </c>
      <c r="C235">
        <v>20</v>
      </c>
      <c r="D235" t="s">
        <v>14</v>
      </c>
      <c r="E235">
        <v>0.27123249999999999</v>
      </c>
      <c r="F235">
        <v>32.599999999999994</v>
      </c>
      <c r="G235">
        <v>9</v>
      </c>
      <c r="H235">
        <v>0.22930185843997941</v>
      </c>
      <c r="I235">
        <v>64.530185843997941</v>
      </c>
    </row>
    <row r="236" spans="1:9" x14ac:dyDescent="0.2">
      <c r="A236" t="s">
        <v>196</v>
      </c>
      <c r="B236">
        <v>1</v>
      </c>
      <c r="C236">
        <v>20</v>
      </c>
      <c r="D236" t="s">
        <v>5</v>
      </c>
      <c r="E236">
        <v>0.24866659999999999</v>
      </c>
      <c r="F236">
        <v>36.4</v>
      </c>
      <c r="G236">
        <v>11</v>
      </c>
      <c r="H236">
        <v>0.24872844423256968</v>
      </c>
      <c r="I236">
        <v>72.27284442325697</v>
      </c>
    </row>
    <row r="237" spans="1:9" x14ac:dyDescent="0.2">
      <c r="A237" t="s">
        <v>196</v>
      </c>
      <c r="B237">
        <v>1</v>
      </c>
      <c r="C237">
        <v>20</v>
      </c>
      <c r="D237" t="s">
        <v>12</v>
      </c>
      <c r="E237">
        <v>0.41860969999999997</v>
      </c>
      <c r="F237">
        <v>32.599999999999994</v>
      </c>
      <c r="G237">
        <v>8</v>
      </c>
      <c r="H237">
        <v>0.22930185843997941</v>
      </c>
      <c r="I237">
        <v>63.530185843997934</v>
      </c>
    </row>
    <row r="238" spans="1:9" x14ac:dyDescent="0.2">
      <c r="A238" t="s">
        <v>197</v>
      </c>
      <c r="B238">
        <v>1</v>
      </c>
      <c r="C238">
        <v>20</v>
      </c>
      <c r="D238" t="s">
        <v>14</v>
      </c>
      <c r="E238">
        <v>0.2656057</v>
      </c>
      <c r="F238">
        <v>32.599999999999994</v>
      </c>
      <c r="G238">
        <v>8</v>
      </c>
      <c r="H238">
        <v>0.22930185843997941</v>
      </c>
      <c r="I238">
        <v>63.530185843997934</v>
      </c>
    </row>
    <row r="239" spans="1:9" x14ac:dyDescent="0.2">
      <c r="A239" t="s">
        <v>198</v>
      </c>
      <c r="B239">
        <v>1</v>
      </c>
      <c r="C239">
        <v>20</v>
      </c>
      <c r="D239" t="s">
        <v>5</v>
      </c>
      <c r="E239">
        <v>0.25314160000000002</v>
      </c>
      <c r="F239">
        <v>35</v>
      </c>
      <c r="G239">
        <v>11</v>
      </c>
      <c r="H239">
        <v>0.25094783918674474</v>
      </c>
      <c r="I239">
        <v>71.094783918674466</v>
      </c>
    </row>
    <row r="240" spans="1:9" x14ac:dyDescent="0.2">
      <c r="A240" t="s">
        <v>198</v>
      </c>
      <c r="B240">
        <v>1</v>
      </c>
      <c r="C240">
        <v>20</v>
      </c>
      <c r="D240" t="s">
        <v>12</v>
      </c>
      <c r="E240">
        <v>0.3991865</v>
      </c>
      <c r="F240">
        <v>33.199999999999996</v>
      </c>
      <c r="G240">
        <v>8</v>
      </c>
      <c r="H240">
        <v>0.2536752734581047</v>
      </c>
      <c r="I240">
        <v>66.567527345810461</v>
      </c>
    </row>
    <row r="241" spans="1:9" x14ac:dyDescent="0.2">
      <c r="A241" t="s">
        <v>199</v>
      </c>
      <c r="B241">
        <v>1</v>
      </c>
      <c r="C241">
        <v>20</v>
      </c>
      <c r="D241" t="s">
        <v>14</v>
      </c>
      <c r="E241">
        <v>0.29474260000000002</v>
      </c>
      <c r="F241">
        <v>32.599999999999994</v>
      </c>
      <c r="G241">
        <v>9</v>
      </c>
      <c r="H241">
        <v>0.22930185843997941</v>
      </c>
      <c r="I241">
        <v>64.530185843997941</v>
      </c>
    </row>
    <row r="242" spans="1:9" x14ac:dyDescent="0.2">
      <c r="A242" t="s">
        <v>200</v>
      </c>
      <c r="B242">
        <v>1</v>
      </c>
      <c r="C242">
        <v>20</v>
      </c>
      <c r="D242" t="s">
        <v>5</v>
      </c>
      <c r="E242">
        <v>0.24939629999999999</v>
      </c>
      <c r="F242">
        <v>34.399999999999991</v>
      </c>
      <c r="G242">
        <v>12</v>
      </c>
      <c r="H242">
        <v>0.25436518859153151</v>
      </c>
      <c r="I242">
        <v>71.836518859153145</v>
      </c>
    </row>
    <row r="243" spans="1:9" x14ac:dyDescent="0.2">
      <c r="A243" t="s">
        <v>201</v>
      </c>
      <c r="B243">
        <v>1</v>
      </c>
      <c r="C243">
        <v>20</v>
      </c>
      <c r="D243" t="s">
        <v>12</v>
      </c>
      <c r="E243">
        <v>0.42649480000000001</v>
      </c>
      <c r="F243">
        <v>33.199999999999996</v>
      </c>
      <c r="G243">
        <v>8</v>
      </c>
      <c r="H243">
        <v>0.2536752734581047</v>
      </c>
      <c r="I243">
        <v>66.567527345810461</v>
      </c>
    </row>
    <row r="244" spans="1:9" x14ac:dyDescent="0.2">
      <c r="A244" t="s">
        <v>201</v>
      </c>
      <c r="B244">
        <v>1</v>
      </c>
      <c r="C244">
        <v>20</v>
      </c>
      <c r="D244" t="s">
        <v>14</v>
      </c>
      <c r="E244">
        <v>0.29573329999999998</v>
      </c>
      <c r="F244">
        <v>32.599999999999994</v>
      </c>
      <c r="G244">
        <v>9</v>
      </c>
      <c r="H244">
        <v>0.22930185843997941</v>
      </c>
      <c r="I244">
        <v>64.530185843997941</v>
      </c>
    </row>
    <row r="245" spans="1:9" x14ac:dyDescent="0.2">
      <c r="A245" t="s">
        <v>202</v>
      </c>
      <c r="B245">
        <v>1</v>
      </c>
      <c r="C245">
        <v>20</v>
      </c>
      <c r="D245" t="s">
        <v>5</v>
      </c>
      <c r="E245">
        <v>0.23963570000000001</v>
      </c>
      <c r="F245">
        <v>32.599999999999994</v>
      </c>
      <c r="G245">
        <v>17</v>
      </c>
      <c r="H245">
        <v>0.22930185843997941</v>
      </c>
      <c r="I245">
        <v>72.530185843997941</v>
      </c>
    </row>
    <row r="246" spans="1:9" x14ac:dyDescent="0.2">
      <c r="A246" t="s">
        <v>202</v>
      </c>
      <c r="B246">
        <v>1</v>
      </c>
      <c r="C246">
        <v>20</v>
      </c>
      <c r="D246" t="s">
        <v>12</v>
      </c>
      <c r="E246">
        <v>0.41955500000000001</v>
      </c>
      <c r="F246">
        <v>32.599999999999994</v>
      </c>
      <c r="G246">
        <v>9</v>
      </c>
      <c r="H246">
        <v>0.22930185843997941</v>
      </c>
      <c r="I246">
        <v>64.530185843997941</v>
      </c>
    </row>
    <row r="247" spans="1:9" x14ac:dyDescent="0.2">
      <c r="A247" t="s">
        <v>203</v>
      </c>
      <c r="B247">
        <v>1</v>
      </c>
      <c r="C247">
        <v>20</v>
      </c>
      <c r="D247" t="s">
        <v>14</v>
      </c>
      <c r="E247">
        <v>0.27368340000000002</v>
      </c>
      <c r="F247">
        <v>32.599999999999994</v>
      </c>
      <c r="G247">
        <v>9</v>
      </c>
      <c r="H247">
        <v>0.22930185843997941</v>
      </c>
      <c r="I247">
        <v>64.530185843997941</v>
      </c>
    </row>
    <row r="248" spans="1:9" x14ac:dyDescent="0.2">
      <c r="A248" t="s">
        <v>204</v>
      </c>
      <c r="B248">
        <v>1</v>
      </c>
      <c r="C248">
        <v>20</v>
      </c>
      <c r="D248" t="s">
        <v>5</v>
      </c>
      <c r="E248">
        <v>0.26937440000000001</v>
      </c>
      <c r="F248">
        <v>34.399999999999991</v>
      </c>
      <c r="G248">
        <v>14</v>
      </c>
      <c r="H248">
        <v>0.25436518859153151</v>
      </c>
      <c r="I248">
        <v>73.836518859153145</v>
      </c>
    </row>
    <row r="249" spans="1:9" x14ac:dyDescent="0.2">
      <c r="A249" t="s">
        <v>205</v>
      </c>
      <c r="B249">
        <v>1</v>
      </c>
      <c r="C249">
        <v>20</v>
      </c>
      <c r="D249" t="s">
        <v>12</v>
      </c>
      <c r="E249">
        <v>0.42495880000000003</v>
      </c>
      <c r="F249">
        <v>33.399999999999991</v>
      </c>
      <c r="G249">
        <v>9</v>
      </c>
      <c r="H249">
        <v>0.22930185843997941</v>
      </c>
      <c r="I249">
        <v>65.330185843997924</v>
      </c>
    </row>
    <row r="250" spans="1:9" x14ac:dyDescent="0.2">
      <c r="A250" t="s">
        <v>205</v>
      </c>
      <c r="B250">
        <v>1</v>
      </c>
      <c r="C250">
        <v>20</v>
      </c>
      <c r="D250" t="s">
        <v>14</v>
      </c>
      <c r="E250">
        <v>0.2789875</v>
      </c>
      <c r="F250">
        <v>34.399999999999991</v>
      </c>
      <c r="G250">
        <v>5</v>
      </c>
      <c r="H250">
        <v>0.25436518859153151</v>
      </c>
      <c r="I250">
        <v>64.836518859153145</v>
      </c>
    </row>
    <row r="251" spans="1:9" x14ac:dyDescent="0.2">
      <c r="A251" t="s">
        <v>206</v>
      </c>
      <c r="B251">
        <v>1</v>
      </c>
      <c r="C251">
        <v>20</v>
      </c>
      <c r="D251" t="s">
        <v>5</v>
      </c>
      <c r="E251">
        <v>0.24581829999999999</v>
      </c>
      <c r="F251">
        <v>32.599999999999994</v>
      </c>
      <c r="G251">
        <v>14</v>
      </c>
      <c r="H251">
        <v>0.22930185843997941</v>
      </c>
      <c r="I251">
        <v>69.530185843997941</v>
      </c>
    </row>
    <row r="252" spans="1:9" x14ac:dyDescent="0.2">
      <c r="A252" t="s">
        <v>207</v>
      </c>
      <c r="B252">
        <v>1</v>
      </c>
      <c r="C252">
        <v>20</v>
      </c>
      <c r="D252" t="s">
        <v>12</v>
      </c>
      <c r="E252">
        <v>0.43840519999999999</v>
      </c>
      <c r="F252">
        <v>33.399999999999991</v>
      </c>
      <c r="G252">
        <v>8</v>
      </c>
      <c r="H252">
        <v>0.22930185843997941</v>
      </c>
      <c r="I252">
        <v>64.330185843997924</v>
      </c>
    </row>
    <row r="253" spans="1:9" x14ac:dyDescent="0.2">
      <c r="A253" t="s">
        <v>207</v>
      </c>
      <c r="B253">
        <v>1</v>
      </c>
      <c r="C253">
        <v>20</v>
      </c>
      <c r="D253" t="s">
        <v>14</v>
      </c>
      <c r="E253">
        <v>0.30217480000000002</v>
      </c>
      <c r="F253">
        <v>32.599999999999994</v>
      </c>
      <c r="G253">
        <v>9</v>
      </c>
      <c r="H253">
        <v>0.22930185843997941</v>
      </c>
      <c r="I253">
        <v>64.530185843997941</v>
      </c>
    </row>
    <row r="254" spans="1:9" x14ac:dyDescent="0.2">
      <c r="A254" t="s">
        <v>208</v>
      </c>
      <c r="B254">
        <v>1</v>
      </c>
      <c r="C254">
        <v>20</v>
      </c>
      <c r="D254" t="s">
        <v>5</v>
      </c>
      <c r="E254">
        <v>0.2525</v>
      </c>
      <c r="F254">
        <v>34.399999999999991</v>
      </c>
      <c r="G254">
        <v>13</v>
      </c>
      <c r="H254">
        <v>0.25436518859153151</v>
      </c>
      <c r="I254">
        <v>72.836518859153145</v>
      </c>
    </row>
    <row r="255" spans="1:9" x14ac:dyDescent="0.2">
      <c r="A255" t="s">
        <v>208</v>
      </c>
      <c r="B255">
        <v>1</v>
      </c>
      <c r="C255">
        <v>20</v>
      </c>
      <c r="D255" t="s">
        <v>12</v>
      </c>
      <c r="E255">
        <v>0.41372059999999999</v>
      </c>
      <c r="F255">
        <v>33.199999999999996</v>
      </c>
      <c r="G255">
        <v>8</v>
      </c>
      <c r="H255">
        <v>0.2536752734581047</v>
      </c>
      <c r="I255">
        <v>66.567527345810461</v>
      </c>
    </row>
    <row r="256" spans="1:9" x14ac:dyDescent="0.2">
      <c r="A256" t="s">
        <v>209</v>
      </c>
      <c r="B256">
        <v>1</v>
      </c>
      <c r="C256">
        <v>20</v>
      </c>
      <c r="D256" t="s">
        <v>14</v>
      </c>
      <c r="E256">
        <v>0.29445139999999997</v>
      </c>
      <c r="F256">
        <v>32.599999999999994</v>
      </c>
      <c r="G256">
        <v>9</v>
      </c>
      <c r="H256">
        <v>0.22930185843997941</v>
      </c>
      <c r="I256">
        <v>64.530185843997941</v>
      </c>
    </row>
    <row r="257" spans="1:9" x14ac:dyDescent="0.2">
      <c r="A257" t="s">
        <v>210</v>
      </c>
      <c r="B257">
        <v>1</v>
      </c>
      <c r="C257">
        <v>20</v>
      </c>
      <c r="D257" t="s">
        <v>5</v>
      </c>
      <c r="E257">
        <v>0.26646769999999997</v>
      </c>
      <c r="F257">
        <v>34.399999999999991</v>
      </c>
      <c r="G257">
        <v>13</v>
      </c>
      <c r="H257">
        <v>0.25436518859153151</v>
      </c>
      <c r="I257">
        <v>72.836518859153145</v>
      </c>
    </row>
    <row r="258" spans="1:9" x14ac:dyDescent="0.2">
      <c r="A258" t="s">
        <v>211</v>
      </c>
      <c r="B258">
        <v>1</v>
      </c>
      <c r="C258">
        <v>20</v>
      </c>
      <c r="D258" t="s">
        <v>12</v>
      </c>
      <c r="E258">
        <v>0.41098620000000002</v>
      </c>
      <c r="F258">
        <v>32.599999999999994</v>
      </c>
      <c r="G258">
        <v>8</v>
      </c>
      <c r="H258">
        <v>0.22930185843997941</v>
      </c>
      <c r="I258">
        <v>63.530185843997934</v>
      </c>
    </row>
    <row r="259" spans="1:9" x14ac:dyDescent="0.2">
      <c r="A259" t="s">
        <v>211</v>
      </c>
      <c r="B259">
        <v>1</v>
      </c>
      <c r="C259">
        <v>20</v>
      </c>
      <c r="D259" t="s">
        <v>14</v>
      </c>
      <c r="E259">
        <v>0.2907962</v>
      </c>
      <c r="F259">
        <v>32.599999999999994</v>
      </c>
      <c r="G259">
        <v>9</v>
      </c>
      <c r="H259">
        <v>0.22930185843997941</v>
      </c>
      <c r="I259">
        <v>64.530185843997941</v>
      </c>
    </row>
    <row r="260" spans="1:9" x14ac:dyDescent="0.2">
      <c r="A260" t="s">
        <v>212</v>
      </c>
      <c r="B260">
        <v>1</v>
      </c>
      <c r="C260">
        <v>20</v>
      </c>
      <c r="D260" t="s">
        <v>5</v>
      </c>
      <c r="E260">
        <v>0.2494094</v>
      </c>
      <c r="F260">
        <v>32.599999999999994</v>
      </c>
      <c r="G260">
        <v>15</v>
      </c>
      <c r="H260">
        <v>0.22930185843997941</v>
      </c>
      <c r="I260">
        <v>70.530185843997941</v>
      </c>
    </row>
    <row r="261" spans="1:9" x14ac:dyDescent="0.2">
      <c r="A261" t="s">
        <v>212</v>
      </c>
      <c r="B261">
        <v>1</v>
      </c>
      <c r="C261">
        <v>20</v>
      </c>
      <c r="D261" t="s">
        <v>12</v>
      </c>
      <c r="E261">
        <v>0.42200310000000002</v>
      </c>
      <c r="F261">
        <v>32.599999999999994</v>
      </c>
      <c r="G261">
        <v>10</v>
      </c>
      <c r="H261">
        <v>0.22930185843997941</v>
      </c>
      <c r="I261">
        <v>65.530185843997941</v>
      </c>
    </row>
    <row r="262" spans="1:9" x14ac:dyDescent="0.2">
      <c r="A262" t="s">
        <v>213</v>
      </c>
      <c r="B262">
        <v>1</v>
      </c>
      <c r="C262">
        <v>20</v>
      </c>
      <c r="D262" t="s">
        <v>14</v>
      </c>
      <c r="E262">
        <v>0.27379140000000002</v>
      </c>
      <c r="F262">
        <v>32.599999999999994</v>
      </c>
      <c r="G262">
        <v>8</v>
      </c>
      <c r="H262">
        <v>0.22930185843997941</v>
      </c>
      <c r="I262">
        <v>63.530185843997934</v>
      </c>
    </row>
    <row r="263" spans="1:9" x14ac:dyDescent="0.2">
      <c r="A263" t="s">
        <v>214</v>
      </c>
      <c r="B263">
        <v>1</v>
      </c>
      <c r="C263">
        <v>20</v>
      </c>
      <c r="D263" t="s">
        <v>5</v>
      </c>
      <c r="E263">
        <v>0.2549053</v>
      </c>
      <c r="F263">
        <v>32.599999999999994</v>
      </c>
      <c r="G263">
        <v>16</v>
      </c>
      <c r="H263">
        <v>0.22930185843997941</v>
      </c>
      <c r="I263">
        <v>71.530185843997941</v>
      </c>
    </row>
    <row r="264" spans="1:9" x14ac:dyDescent="0.2">
      <c r="A264" t="s">
        <v>215</v>
      </c>
      <c r="B264">
        <v>1</v>
      </c>
      <c r="C264">
        <v>20</v>
      </c>
      <c r="D264" t="s">
        <v>12</v>
      </c>
      <c r="E264">
        <v>0.41580929999999999</v>
      </c>
      <c r="F264">
        <v>32.599999999999994</v>
      </c>
      <c r="G264">
        <v>9</v>
      </c>
      <c r="H264">
        <v>0.22930185843997941</v>
      </c>
      <c r="I264">
        <v>64.530185843997941</v>
      </c>
    </row>
    <row r="265" spans="1:9" x14ac:dyDescent="0.2">
      <c r="A265" t="s">
        <v>215</v>
      </c>
      <c r="B265">
        <v>1</v>
      </c>
      <c r="C265">
        <v>20</v>
      </c>
      <c r="D265" t="s">
        <v>14</v>
      </c>
      <c r="E265">
        <v>0.27802389999999999</v>
      </c>
      <c r="F265">
        <v>32.599999999999994</v>
      </c>
      <c r="G265">
        <v>9</v>
      </c>
      <c r="H265">
        <v>0.22930185843997941</v>
      </c>
      <c r="I265">
        <v>64.530185843997941</v>
      </c>
    </row>
    <row r="266" spans="1:9" x14ac:dyDescent="0.2">
      <c r="A266" t="s">
        <v>216</v>
      </c>
      <c r="B266">
        <v>1</v>
      </c>
      <c r="C266">
        <v>20</v>
      </c>
      <c r="D266" t="s">
        <v>5</v>
      </c>
      <c r="E266">
        <v>0.2647505</v>
      </c>
      <c r="F266">
        <v>32.599999999999994</v>
      </c>
      <c r="G266">
        <v>17</v>
      </c>
      <c r="H266">
        <v>0.22930185843997941</v>
      </c>
      <c r="I266">
        <v>72.530185843997941</v>
      </c>
    </row>
    <row r="267" spans="1:9" x14ac:dyDescent="0.2">
      <c r="A267" t="s">
        <v>217</v>
      </c>
      <c r="B267">
        <v>1</v>
      </c>
      <c r="C267">
        <v>20</v>
      </c>
      <c r="D267" t="s">
        <v>12</v>
      </c>
      <c r="E267">
        <v>0.4107883</v>
      </c>
      <c r="F267">
        <v>33.199999999999996</v>
      </c>
      <c r="G267">
        <v>8</v>
      </c>
      <c r="H267">
        <v>0.2536752734581047</v>
      </c>
      <c r="I267">
        <v>66.567527345810461</v>
      </c>
    </row>
    <row r="268" spans="1:9" x14ac:dyDescent="0.2">
      <c r="A268" t="s">
        <v>217</v>
      </c>
      <c r="B268">
        <v>1</v>
      </c>
      <c r="C268">
        <v>20</v>
      </c>
      <c r="D268" t="s">
        <v>14</v>
      </c>
      <c r="E268">
        <v>0.27806439999999999</v>
      </c>
      <c r="F268">
        <v>32.599999999999994</v>
      </c>
      <c r="G268">
        <v>9</v>
      </c>
      <c r="H268">
        <v>0.22930185843997941</v>
      </c>
      <c r="I268">
        <v>64.530185843997941</v>
      </c>
    </row>
    <row r="269" spans="1:9" x14ac:dyDescent="0.2">
      <c r="A269" t="s">
        <v>218</v>
      </c>
      <c r="B269">
        <v>1</v>
      </c>
      <c r="C269">
        <v>20</v>
      </c>
      <c r="D269" t="s">
        <v>5</v>
      </c>
      <c r="E269">
        <v>0.2545636</v>
      </c>
      <c r="F269">
        <v>32.599999999999994</v>
      </c>
      <c r="G269">
        <v>14</v>
      </c>
      <c r="H269">
        <v>0.22930185843997941</v>
      </c>
      <c r="I269">
        <v>69.530185843997941</v>
      </c>
    </row>
    <row r="270" spans="1:9" x14ac:dyDescent="0.2">
      <c r="A270" t="s">
        <v>219</v>
      </c>
      <c r="B270">
        <v>1</v>
      </c>
      <c r="C270">
        <v>20</v>
      </c>
      <c r="D270" t="s">
        <v>12</v>
      </c>
      <c r="E270">
        <v>0.41016619999999998</v>
      </c>
      <c r="F270">
        <v>33.199999999999996</v>
      </c>
      <c r="G270">
        <v>8</v>
      </c>
      <c r="H270">
        <v>0.2536752734581047</v>
      </c>
      <c r="I270">
        <v>66.567527345810461</v>
      </c>
    </row>
    <row r="271" spans="1:9" x14ac:dyDescent="0.2">
      <c r="A271" t="s">
        <v>219</v>
      </c>
      <c r="B271">
        <v>1</v>
      </c>
      <c r="C271">
        <v>20</v>
      </c>
      <c r="D271" t="s">
        <v>14</v>
      </c>
      <c r="E271">
        <v>0.26231480000000001</v>
      </c>
      <c r="F271">
        <v>32.599999999999994</v>
      </c>
      <c r="G271">
        <v>9</v>
      </c>
      <c r="H271">
        <v>0.22930185843997941</v>
      </c>
      <c r="I271">
        <v>64.530185843997941</v>
      </c>
    </row>
    <row r="272" spans="1:9" x14ac:dyDescent="0.2">
      <c r="A272" t="s">
        <v>254</v>
      </c>
      <c r="B272" t="s">
        <v>254</v>
      </c>
      <c r="C272" t="s">
        <v>254</v>
      </c>
      <c r="D272" t="s">
        <v>254</v>
      </c>
      <c r="E272" t="s">
        <v>254</v>
      </c>
      <c r="F272" t="s">
        <v>254</v>
      </c>
      <c r="G272" t="s">
        <v>254</v>
      </c>
      <c r="H272" t="s">
        <v>254</v>
      </c>
      <c r="I272" t="s">
        <v>254</v>
      </c>
    </row>
    <row r="273" spans="1:9" x14ac:dyDescent="0.2">
      <c r="A273" t="s">
        <v>254</v>
      </c>
      <c r="B273" t="s">
        <v>254</v>
      </c>
      <c r="C273" t="s">
        <v>254</v>
      </c>
      <c r="D273" t="s">
        <v>254</v>
      </c>
      <c r="E273" t="s">
        <v>254</v>
      </c>
      <c r="F273" t="s">
        <v>254</v>
      </c>
      <c r="G273" t="s">
        <v>254</v>
      </c>
      <c r="H273" t="s">
        <v>254</v>
      </c>
      <c r="I273" t="s">
        <v>254</v>
      </c>
    </row>
    <row r="274" spans="1:9" x14ac:dyDescent="0.2">
      <c r="A274" t="s">
        <v>254</v>
      </c>
      <c r="B274" t="s">
        <v>254</v>
      </c>
      <c r="C274" t="s">
        <v>254</v>
      </c>
      <c r="D274" t="s">
        <v>254</v>
      </c>
      <c r="E274" t="s">
        <v>254</v>
      </c>
      <c r="F274" t="s">
        <v>254</v>
      </c>
      <c r="G274" t="s">
        <v>254</v>
      </c>
      <c r="H274" t="s">
        <v>254</v>
      </c>
      <c r="I274" t="s">
        <v>254</v>
      </c>
    </row>
    <row r="275" spans="1:9" x14ac:dyDescent="0.2">
      <c r="A275" t="s">
        <v>254</v>
      </c>
      <c r="B275" t="s">
        <v>254</v>
      </c>
      <c r="C275" t="s">
        <v>254</v>
      </c>
      <c r="D275" t="s">
        <v>254</v>
      </c>
      <c r="E275" t="s">
        <v>254</v>
      </c>
      <c r="F275" t="s">
        <v>254</v>
      </c>
      <c r="G275" t="s">
        <v>254</v>
      </c>
      <c r="H275" t="s">
        <v>254</v>
      </c>
      <c r="I275" t="s">
        <v>254</v>
      </c>
    </row>
    <row r="276" spans="1:9" x14ac:dyDescent="0.2">
      <c r="A276" t="s">
        <v>254</v>
      </c>
      <c r="B276" t="s">
        <v>254</v>
      </c>
      <c r="C276" t="s">
        <v>254</v>
      </c>
      <c r="D276" t="s">
        <v>254</v>
      </c>
      <c r="E276" t="s">
        <v>254</v>
      </c>
      <c r="F276" t="s">
        <v>254</v>
      </c>
      <c r="G276" t="s">
        <v>254</v>
      </c>
      <c r="H276" t="s">
        <v>254</v>
      </c>
      <c r="I276" t="s">
        <v>254</v>
      </c>
    </row>
    <row r="277" spans="1:9" x14ac:dyDescent="0.2">
      <c r="A277" t="s">
        <v>254</v>
      </c>
      <c r="B277" t="s">
        <v>254</v>
      </c>
      <c r="C277" t="s">
        <v>254</v>
      </c>
      <c r="D277" t="s">
        <v>254</v>
      </c>
      <c r="E277" t="s">
        <v>254</v>
      </c>
      <c r="F277" t="s">
        <v>254</v>
      </c>
      <c r="G277" t="s">
        <v>254</v>
      </c>
      <c r="H277" t="s">
        <v>254</v>
      </c>
      <c r="I277" t="s">
        <v>254</v>
      </c>
    </row>
    <row r="278" spans="1:9" x14ac:dyDescent="0.2">
      <c r="A278" t="s">
        <v>254</v>
      </c>
      <c r="B278" t="s">
        <v>254</v>
      </c>
      <c r="C278" t="s">
        <v>254</v>
      </c>
      <c r="D278" t="s">
        <v>254</v>
      </c>
      <c r="E278" t="s">
        <v>254</v>
      </c>
      <c r="F278" t="s">
        <v>254</v>
      </c>
      <c r="G278" t="s">
        <v>254</v>
      </c>
      <c r="H278" t="s">
        <v>254</v>
      </c>
      <c r="I278" t="s">
        <v>254</v>
      </c>
    </row>
    <row r="279" spans="1:9" x14ac:dyDescent="0.2">
      <c r="A279" t="s">
        <v>254</v>
      </c>
      <c r="B279" t="s">
        <v>254</v>
      </c>
      <c r="C279" t="s">
        <v>254</v>
      </c>
      <c r="D279" t="s">
        <v>254</v>
      </c>
      <c r="E279" t="s">
        <v>254</v>
      </c>
      <c r="F279" t="s">
        <v>254</v>
      </c>
      <c r="G279" t="s">
        <v>254</v>
      </c>
      <c r="H279" t="s">
        <v>254</v>
      </c>
      <c r="I279" t="s">
        <v>254</v>
      </c>
    </row>
    <row r="280" spans="1:9" x14ac:dyDescent="0.2">
      <c r="A280" t="s">
        <v>254</v>
      </c>
      <c r="B280" t="s">
        <v>254</v>
      </c>
      <c r="C280" t="s">
        <v>254</v>
      </c>
      <c r="D280" t="s">
        <v>254</v>
      </c>
      <c r="E280" t="s">
        <v>254</v>
      </c>
      <c r="F280" t="s">
        <v>254</v>
      </c>
      <c r="G280" t="s">
        <v>254</v>
      </c>
      <c r="H280" t="s">
        <v>254</v>
      </c>
      <c r="I280" t="s">
        <v>254</v>
      </c>
    </row>
    <row r="281" spans="1:9" x14ac:dyDescent="0.2">
      <c r="A281" t="s">
        <v>254</v>
      </c>
      <c r="B281" t="s">
        <v>254</v>
      </c>
      <c r="C281" t="s">
        <v>254</v>
      </c>
      <c r="D281" t="s">
        <v>254</v>
      </c>
      <c r="E281" t="s">
        <v>254</v>
      </c>
      <c r="F281" t="s">
        <v>254</v>
      </c>
      <c r="G281" t="s">
        <v>254</v>
      </c>
      <c r="H281" t="s">
        <v>254</v>
      </c>
      <c r="I281" t="s">
        <v>254</v>
      </c>
    </row>
    <row r="282" spans="1:9" x14ac:dyDescent="0.2">
      <c r="A282" t="s">
        <v>254</v>
      </c>
      <c r="B282" t="s">
        <v>254</v>
      </c>
      <c r="C282" t="s">
        <v>254</v>
      </c>
      <c r="D282" t="s">
        <v>254</v>
      </c>
      <c r="E282" t="s">
        <v>254</v>
      </c>
      <c r="F282" t="s">
        <v>254</v>
      </c>
      <c r="G282" t="s">
        <v>254</v>
      </c>
      <c r="H282" t="s">
        <v>254</v>
      </c>
      <c r="I282" t="s">
        <v>254</v>
      </c>
    </row>
    <row r="283" spans="1:9" x14ac:dyDescent="0.2">
      <c r="A283" t="s">
        <v>254</v>
      </c>
      <c r="B283" t="s">
        <v>254</v>
      </c>
      <c r="C283" t="s">
        <v>254</v>
      </c>
      <c r="D283" t="s">
        <v>254</v>
      </c>
      <c r="E283" t="s">
        <v>254</v>
      </c>
      <c r="F283" t="s">
        <v>254</v>
      </c>
      <c r="G283" t="s">
        <v>254</v>
      </c>
      <c r="H283" t="s">
        <v>254</v>
      </c>
      <c r="I283" t="s">
        <v>254</v>
      </c>
    </row>
    <row r="284" spans="1:9" x14ac:dyDescent="0.2">
      <c r="A284" t="s">
        <v>254</v>
      </c>
      <c r="B284" t="s">
        <v>254</v>
      </c>
      <c r="C284" t="s">
        <v>254</v>
      </c>
      <c r="D284" t="s">
        <v>254</v>
      </c>
      <c r="E284" t="s">
        <v>254</v>
      </c>
      <c r="F284" t="s">
        <v>254</v>
      </c>
      <c r="G284" t="s">
        <v>254</v>
      </c>
      <c r="H284" t="s">
        <v>254</v>
      </c>
      <c r="I284" t="s">
        <v>254</v>
      </c>
    </row>
    <row r="285" spans="1:9" x14ac:dyDescent="0.2">
      <c r="A285" t="s">
        <v>254</v>
      </c>
      <c r="B285" t="s">
        <v>254</v>
      </c>
      <c r="C285" t="s">
        <v>254</v>
      </c>
      <c r="D285" t="s">
        <v>254</v>
      </c>
      <c r="E285" t="s">
        <v>254</v>
      </c>
      <c r="F285" t="s">
        <v>254</v>
      </c>
      <c r="G285" t="s">
        <v>254</v>
      </c>
      <c r="H285" t="s">
        <v>254</v>
      </c>
      <c r="I285" t="s">
        <v>254</v>
      </c>
    </row>
    <row r="286" spans="1:9" x14ac:dyDescent="0.2">
      <c r="A286" t="s">
        <v>254</v>
      </c>
      <c r="B286" t="s">
        <v>254</v>
      </c>
      <c r="C286" t="s">
        <v>254</v>
      </c>
      <c r="D286" t="s">
        <v>254</v>
      </c>
      <c r="E286" t="s">
        <v>254</v>
      </c>
      <c r="F286" t="s">
        <v>254</v>
      </c>
      <c r="G286" t="s">
        <v>254</v>
      </c>
      <c r="H286" t="s">
        <v>254</v>
      </c>
      <c r="I286" t="s">
        <v>254</v>
      </c>
    </row>
    <row r="287" spans="1:9" x14ac:dyDescent="0.2">
      <c r="A287" t="s">
        <v>254</v>
      </c>
      <c r="B287" t="s">
        <v>254</v>
      </c>
      <c r="C287" t="s">
        <v>254</v>
      </c>
      <c r="D287" t="s">
        <v>254</v>
      </c>
      <c r="E287" t="s">
        <v>254</v>
      </c>
      <c r="F287" t="s">
        <v>254</v>
      </c>
      <c r="G287" t="s">
        <v>254</v>
      </c>
      <c r="H287" t="s">
        <v>254</v>
      </c>
      <c r="I287" t="s">
        <v>254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EF44-8BFD-4A4C-9800-A51C4DDB66D8}">
  <dimension ref="A1:X40"/>
  <sheetViews>
    <sheetView topLeftCell="A4" workbookViewId="0">
      <selection sqref="A1:XFD1"/>
    </sheetView>
  </sheetViews>
  <sheetFormatPr defaultRowHeight="14.25" x14ac:dyDescent="0.2"/>
  <sheetData>
    <row r="1" spans="1:24" x14ac:dyDescent="0.2">
      <c r="A1" t="s">
        <v>220</v>
      </c>
      <c r="B1" t="s">
        <v>3</v>
      </c>
      <c r="C1" t="s">
        <v>221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220</v>
      </c>
      <c r="J1" t="s">
        <v>3</v>
      </c>
      <c r="K1" t="s">
        <v>221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220</v>
      </c>
      <c r="R1" t="s">
        <v>3</v>
      </c>
      <c r="S1" t="s">
        <v>221</v>
      </c>
      <c r="T1" t="s">
        <v>6</v>
      </c>
      <c r="U1" t="s">
        <v>7</v>
      </c>
      <c r="V1" t="s">
        <v>8</v>
      </c>
      <c r="W1" t="s">
        <v>9</v>
      </c>
      <c r="X1" t="s">
        <v>10</v>
      </c>
    </row>
    <row r="2" spans="1:24" x14ac:dyDescent="0.2">
      <c r="A2">
        <v>1</v>
      </c>
      <c r="B2">
        <v>20</v>
      </c>
      <c r="C2" t="s">
        <v>5</v>
      </c>
      <c r="D2">
        <v>0.33357550000000002</v>
      </c>
      <c r="E2">
        <v>33.199999999999996</v>
      </c>
      <c r="F2">
        <v>12</v>
      </c>
      <c r="G2">
        <v>0.2536752734581047</v>
      </c>
      <c r="H2">
        <v>70.567527345810461</v>
      </c>
      <c r="I2">
        <v>1</v>
      </c>
      <c r="J2">
        <v>20</v>
      </c>
      <c r="K2" t="s">
        <v>12</v>
      </c>
      <c r="L2">
        <v>0.4775643</v>
      </c>
      <c r="M2">
        <v>33.199999999999996</v>
      </c>
      <c r="N2">
        <v>8</v>
      </c>
      <c r="O2">
        <v>0.2536752734581047</v>
      </c>
      <c r="P2">
        <v>66.567527345810461</v>
      </c>
      <c r="Q2">
        <v>1</v>
      </c>
      <c r="R2">
        <v>20</v>
      </c>
      <c r="S2" t="s">
        <v>14</v>
      </c>
      <c r="T2">
        <v>0.31365520000000002</v>
      </c>
      <c r="U2">
        <v>32.599999999999994</v>
      </c>
      <c r="V2">
        <v>8</v>
      </c>
      <c r="W2">
        <v>0.22930185843997941</v>
      </c>
      <c r="X2">
        <v>63.530185843997934</v>
      </c>
    </row>
    <row r="3" spans="1:24" x14ac:dyDescent="0.2">
      <c r="A3">
        <v>1</v>
      </c>
      <c r="B3">
        <v>20</v>
      </c>
      <c r="C3" t="s">
        <v>5</v>
      </c>
      <c r="D3">
        <v>0.33357550000000002</v>
      </c>
      <c r="E3">
        <v>33.199999999999996</v>
      </c>
      <c r="F3">
        <v>12</v>
      </c>
      <c r="G3">
        <v>0.2536752734581047</v>
      </c>
      <c r="H3">
        <v>70.567527345810461</v>
      </c>
      <c r="I3">
        <v>1</v>
      </c>
      <c r="J3">
        <v>20</v>
      </c>
      <c r="K3" t="s">
        <v>12</v>
      </c>
      <c r="L3">
        <v>0.4775643</v>
      </c>
      <c r="M3">
        <v>33.199999999999996</v>
      </c>
      <c r="N3">
        <v>8</v>
      </c>
      <c r="O3">
        <v>0.2536752734581047</v>
      </c>
      <c r="P3">
        <v>66.567527345810461</v>
      </c>
      <c r="Q3">
        <v>1</v>
      </c>
      <c r="R3">
        <v>20</v>
      </c>
      <c r="S3" t="s">
        <v>14</v>
      </c>
      <c r="T3">
        <v>0.31365520000000002</v>
      </c>
      <c r="U3">
        <v>32.599999999999994</v>
      </c>
      <c r="V3">
        <v>8</v>
      </c>
      <c r="W3">
        <v>0.22930185843997941</v>
      </c>
      <c r="X3">
        <v>63.530185843997934</v>
      </c>
    </row>
    <row r="4" spans="1:24" x14ac:dyDescent="0.2">
      <c r="A4">
        <v>1</v>
      </c>
      <c r="B4">
        <v>20</v>
      </c>
      <c r="C4" t="s">
        <v>5</v>
      </c>
      <c r="D4">
        <v>0.28276770000000001</v>
      </c>
      <c r="E4">
        <v>34.399999999999991</v>
      </c>
      <c r="F4">
        <v>11</v>
      </c>
      <c r="G4">
        <v>0.25436518859153151</v>
      </c>
      <c r="H4">
        <v>70.836518859153145</v>
      </c>
      <c r="I4">
        <v>1</v>
      </c>
      <c r="J4">
        <v>20</v>
      </c>
      <c r="K4" t="s">
        <v>12</v>
      </c>
      <c r="L4">
        <v>0.4393958</v>
      </c>
      <c r="M4">
        <v>32.599999999999994</v>
      </c>
      <c r="N4">
        <v>8</v>
      </c>
      <c r="O4">
        <v>0.22930185843997941</v>
      </c>
      <c r="P4">
        <v>63.530185843997934</v>
      </c>
      <c r="Q4">
        <v>1</v>
      </c>
      <c r="R4">
        <v>20</v>
      </c>
      <c r="S4" t="s">
        <v>14</v>
      </c>
      <c r="T4">
        <v>0.29056520000000002</v>
      </c>
      <c r="U4">
        <v>32.599999999999994</v>
      </c>
      <c r="V4">
        <v>9</v>
      </c>
      <c r="W4">
        <v>0.22930185843997941</v>
      </c>
      <c r="X4">
        <v>64.530185843997941</v>
      </c>
    </row>
    <row r="5" spans="1:24" x14ac:dyDescent="0.2">
      <c r="A5">
        <v>1</v>
      </c>
      <c r="B5">
        <v>20</v>
      </c>
      <c r="C5" t="s">
        <v>5</v>
      </c>
      <c r="D5">
        <v>0.24746840000000001</v>
      </c>
      <c r="E5">
        <v>34.399999999999991</v>
      </c>
      <c r="F5">
        <v>13</v>
      </c>
      <c r="G5">
        <v>0.25436518859153151</v>
      </c>
      <c r="H5">
        <v>72.836518859153145</v>
      </c>
      <c r="I5">
        <v>1</v>
      </c>
      <c r="J5">
        <v>20</v>
      </c>
      <c r="K5" t="s">
        <v>12</v>
      </c>
      <c r="L5">
        <v>0.4422854</v>
      </c>
      <c r="M5">
        <v>33.199999999999996</v>
      </c>
      <c r="N5">
        <v>8</v>
      </c>
      <c r="O5">
        <v>0.2536752734581047</v>
      </c>
      <c r="P5">
        <v>66.567527345810461</v>
      </c>
      <c r="Q5">
        <v>1</v>
      </c>
      <c r="R5">
        <v>20</v>
      </c>
      <c r="S5" t="s">
        <v>14</v>
      </c>
      <c r="T5">
        <v>0.2961799</v>
      </c>
      <c r="U5">
        <v>32.599999999999994</v>
      </c>
      <c r="V5">
        <v>9</v>
      </c>
      <c r="W5">
        <v>0.22930185843997941</v>
      </c>
      <c r="X5">
        <v>64.530185843997941</v>
      </c>
    </row>
    <row r="6" spans="1:24" x14ac:dyDescent="0.2">
      <c r="A6">
        <v>1</v>
      </c>
      <c r="B6">
        <v>20</v>
      </c>
      <c r="C6" t="s">
        <v>5</v>
      </c>
      <c r="D6">
        <v>0.2413209</v>
      </c>
      <c r="E6">
        <v>33.399999999999991</v>
      </c>
      <c r="F6">
        <v>16</v>
      </c>
      <c r="G6">
        <v>0.22930185843997941</v>
      </c>
      <c r="H6">
        <v>72.330185843997924</v>
      </c>
      <c r="I6">
        <v>1</v>
      </c>
      <c r="J6">
        <v>20</v>
      </c>
      <c r="K6" t="s">
        <v>12</v>
      </c>
      <c r="L6">
        <v>0.41724240000000001</v>
      </c>
      <c r="M6">
        <v>33.199999999999996</v>
      </c>
      <c r="N6">
        <v>8</v>
      </c>
      <c r="O6">
        <v>0.2536752734581047</v>
      </c>
      <c r="P6">
        <v>66.567527345810461</v>
      </c>
      <c r="Q6">
        <v>1</v>
      </c>
      <c r="R6">
        <v>20</v>
      </c>
      <c r="S6" t="s">
        <v>14</v>
      </c>
      <c r="T6">
        <v>0.29580859999999998</v>
      </c>
      <c r="U6">
        <v>32.599999999999994</v>
      </c>
      <c r="V6">
        <v>10</v>
      </c>
      <c r="W6">
        <v>0.22930185843997941</v>
      </c>
      <c r="X6">
        <v>65.530185843997941</v>
      </c>
    </row>
    <row r="7" spans="1:24" x14ac:dyDescent="0.2">
      <c r="A7">
        <v>1</v>
      </c>
      <c r="B7">
        <v>20</v>
      </c>
      <c r="C7" t="s">
        <v>5</v>
      </c>
      <c r="D7">
        <v>0.26988990000000002</v>
      </c>
      <c r="E7">
        <v>35.599999999999994</v>
      </c>
      <c r="F7">
        <v>12</v>
      </c>
      <c r="G7">
        <v>0.24872844423256968</v>
      </c>
      <c r="H7">
        <v>72.472844423256959</v>
      </c>
      <c r="I7">
        <v>1</v>
      </c>
      <c r="J7">
        <v>20</v>
      </c>
      <c r="K7" t="s">
        <v>12</v>
      </c>
      <c r="L7">
        <v>0.41192780000000001</v>
      </c>
      <c r="M7">
        <v>32.599999999999994</v>
      </c>
      <c r="N7">
        <v>8</v>
      </c>
      <c r="O7">
        <v>0.22930185843997941</v>
      </c>
      <c r="P7">
        <v>63.530185843997934</v>
      </c>
      <c r="Q7">
        <v>1</v>
      </c>
      <c r="R7">
        <v>20</v>
      </c>
      <c r="S7" t="s">
        <v>14</v>
      </c>
      <c r="T7">
        <v>0.29003960000000001</v>
      </c>
      <c r="U7">
        <v>32.599999999999994</v>
      </c>
      <c r="V7">
        <v>9</v>
      </c>
      <c r="W7">
        <v>0.22930185843997941</v>
      </c>
      <c r="X7">
        <v>64.530185843997941</v>
      </c>
    </row>
    <row r="8" spans="1:24" x14ac:dyDescent="0.2">
      <c r="A8">
        <v>1</v>
      </c>
      <c r="B8">
        <v>20</v>
      </c>
      <c r="C8" t="s">
        <v>5</v>
      </c>
      <c r="D8">
        <v>0.26107190000000002</v>
      </c>
      <c r="E8">
        <v>32.599999999999994</v>
      </c>
      <c r="F8">
        <v>16</v>
      </c>
      <c r="G8">
        <v>0.22930185843997941</v>
      </c>
      <c r="H8">
        <v>71.530185843997941</v>
      </c>
      <c r="I8">
        <v>1</v>
      </c>
      <c r="J8">
        <v>20</v>
      </c>
      <c r="K8" t="s">
        <v>12</v>
      </c>
      <c r="L8">
        <v>0.40802870000000002</v>
      </c>
      <c r="M8">
        <v>32.599999999999994</v>
      </c>
      <c r="N8">
        <v>8</v>
      </c>
      <c r="O8">
        <v>0.22930185843997941</v>
      </c>
      <c r="P8">
        <v>63.530185843997934</v>
      </c>
      <c r="Q8">
        <v>1</v>
      </c>
      <c r="R8">
        <v>20</v>
      </c>
      <c r="S8" t="s">
        <v>14</v>
      </c>
      <c r="T8">
        <v>0.27265339999999999</v>
      </c>
      <c r="U8">
        <v>32.599999999999994</v>
      </c>
      <c r="V8">
        <v>9</v>
      </c>
      <c r="W8">
        <v>0.22930185843997941</v>
      </c>
      <c r="X8">
        <v>64.530185843997941</v>
      </c>
    </row>
    <row r="9" spans="1:24" x14ac:dyDescent="0.2">
      <c r="A9">
        <v>1</v>
      </c>
      <c r="B9">
        <v>20</v>
      </c>
      <c r="C9" t="s">
        <v>5</v>
      </c>
      <c r="D9">
        <v>0.26651560000000002</v>
      </c>
      <c r="E9">
        <v>33.199999999999996</v>
      </c>
      <c r="F9">
        <v>14</v>
      </c>
      <c r="G9">
        <v>0.2536752734581047</v>
      </c>
      <c r="H9">
        <v>72.567527345810461</v>
      </c>
      <c r="I9">
        <v>1</v>
      </c>
      <c r="J9">
        <v>20</v>
      </c>
      <c r="K9" t="s">
        <v>12</v>
      </c>
      <c r="L9">
        <v>0.40757339999999997</v>
      </c>
      <c r="M9">
        <v>33.199999999999996</v>
      </c>
      <c r="N9">
        <v>8</v>
      </c>
      <c r="O9">
        <v>0.2536752734581047</v>
      </c>
      <c r="P9">
        <v>66.567527345810461</v>
      </c>
      <c r="Q9">
        <v>1</v>
      </c>
      <c r="R9">
        <v>20</v>
      </c>
      <c r="S9" t="s">
        <v>14</v>
      </c>
      <c r="T9">
        <v>0.29234139999999997</v>
      </c>
      <c r="U9">
        <v>32.599999999999994</v>
      </c>
      <c r="V9">
        <v>9</v>
      </c>
      <c r="W9">
        <v>0.22930185843997941</v>
      </c>
      <c r="X9">
        <v>64.530185843997941</v>
      </c>
    </row>
    <row r="10" spans="1:24" x14ac:dyDescent="0.2">
      <c r="A10">
        <v>1</v>
      </c>
      <c r="B10">
        <v>20</v>
      </c>
      <c r="C10" t="s">
        <v>5</v>
      </c>
      <c r="D10">
        <v>0.26807809999999999</v>
      </c>
      <c r="E10">
        <v>33.799999999999997</v>
      </c>
      <c r="F10">
        <v>11</v>
      </c>
      <c r="G10">
        <v>0.25794332381556018</v>
      </c>
      <c r="H10">
        <v>70.594332381556015</v>
      </c>
      <c r="I10">
        <v>1</v>
      </c>
      <c r="J10">
        <v>20</v>
      </c>
      <c r="K10" t="s">
        <v>12</v>
      </c>
      <c r="L10">
        <v>0.4258633</v>
      </c>
      <c r="M10">
        <v>33.199999999999996</v>
      </c>
      <c r="N10">
        <v>8</v>
      </c>
      <c r="O10">
        <v>0.2536752734581047</v>
      </c>
      <c r="P10">
        <v>66.567527345810461</v>
      </c>
      <c r="Q10">
        <v>1</v>
      </c>
      <c r="R10">
        <v>20</v>
      </c>
      <c r="S10" t="s">
        <v>14</v>
      </c>
      <c r="T10">
        <v>0.28776610000000002</v>
      </c>
      <c r="U10">
        <v>32.599999999999994</v>
      </c>
      <c r="V10">
        <v>10</v>
      </c>
      <c r="W10">
        <v>0.22930185843997941</v>
      </c>
      <c r="X10">
        <v>65.530185843997941</v>
      </c>
    </row>
    <row r="11" spans="1:24" x14ac:dyDescent="0.2">
      <c r="A11">
        <v>1</v>
      </c>
      <c r="B11">
        <v>20</v>
      </c>
      <c r="C11" t="s">
        <v>5</v>
      </c>
      <c r="D11">
        <v>0.2590403</v>
      </c>
      <c r="E11">
        <v>35</v>
      </c>
      <c r="F11">
        <v>13</v>
      </c>
      <c r="G11">
        <v>0.25094783918674474</v>
      </c>
      <c r="H11">
        <v>73.094783918674466</v>
      </c>
      <c r="I11">
        <v>1</v>
      </c>
      <c r="J11">
        <v>20</v>
      </c>
      <c r="K11" t="s">
        <v>12</v>
      </c>
      <c r="L11">
        <v>0.40152409999999999</v>
      </c>
      <c r="M11">
        <v>33.199999999999996</v>
      </c>
      <c r="N11">
        <v>8</v>
      </c>
      <c r="O11">
        <v>0.2536752734581047</v>
      </c>
      <c r="P11">
        <v>66.567527345810461</v>
      </c>
      <c r="Q11">
        <v>1</v>
      </c>
      <c r="R11">
        <v>20</v>
      </c>
      <c r="S11" t="s">
        <v>14</v>
      </c>
      <c r="T11">
        <v>0.28113369999999999</v>
      </c>
      <c r="U11">
        <v>32.599999999999994</v>
      </c>
      <c r="V11">
        <v>11</v>
      </c>
      <c r="W11">
        <v>0.22930185843997941</v>
      </c>
      <c r="X11">
        <v>66.530185843997941</v>
      </c>
    </row>
    <row r="12" spans="1:24" x14ac:dyDescent="0.2">
      <c r="A12">
        <v>1</v>
      </c>
      <c r="B12">
        <v>20</v>
      </c>
      <c r="C12" t="s">
        <v>5</v>
      </c>
      <c r="D12">
        <v>0.2430049</v>
      </c>
      <c r="E12">
        <v>35.599999999999994</v>
      </c>
      <c r="F12">
        <v>12</v>
      </c>
      <c r="G12">
        <v>0.24872844423256968</v>
      </c>
      <c r="H12">
        <v>72.472844423256959</v>
      </c>
      <c r="I12">
        <v>1</v>
      </c>
      <c r="J12">
        <v>20</v>
      </c>
      <c r="K12" t="s">
        <v>12</v>
      </c>
      <c r="L12">
        <v>0.40436349999999999</v>
      </c>
      <c r="M12">
        <v>33.199999999999996</v>
      </c>
      <c r="N12">
        <v>8</v>
      </c>
      <c r="O12">
        <v>0.2536752734581047</v>
      </c>
      <c r="P12">
        <v>66.567527345810461</v>
      </c>
      <c r="Q12">
        <v>1</v>
      </c>
      <c r="R12">
        <v>20</v>
      </c>
      <c r="S12" t="s">
        <v>14</v>
      </c>
      <c r="T12">
        <v>0.26490829999999999</v>
      </c>
      <c r="U12">
        <v>33.399999999999991</v>
      </c>
      <c r="V12">
        <v>11</v>
      </c>
      <c r="W12">
        <v>0.22930185843997941</v>
      </c>
      <c r="X12">
        <v>67.330185843997924</v>
      </c>
    </row>
    <row r="13" spans="1:24" x14ac:dyDescent="0.2">
      <c r="A13">
        <v>1</v>
      </c>
      <c r="B13">
        <v>20</v>
      </c>
      <c r="C13" t="s">
        <v>5</v>
      </c>
      <c r="D13">
        <v>0.25031779999999998</v>
      </c>
      <c r="E13">
        <v>32.599999999999994</v>
      </c>
      <c r="F13">
        <v>11</v>
      </c>
      <c r="G13">
        <v>0.22930185843997941</v>
      </c>
      <c r="H13">
        <v>66.530185843997941</v>
      </c>
      <c r="I13">
        <v>1</v>
      </c>
      <c r="J13">
        <v>20</v>
      </c>
      <c r="K13" t="s">
        <v>12</v>
      </c>
      <c r="L13">
        <v>0.41506100000000001</v>
      </c>
      <c r="M13">
        <v>32.599999999999994</v>
      </c>
      <c r="N13">
        <v>8</v>
      </c>
      <c r="O13">
        <v>0.22930185843997941</v>
      </c>
      <c r="P13">
        <v>63.530185843997934</v>
      </c>
      <c r="Q13">
        <v>1</v>
      </c>
      <c r="R13">
        <v>20</v>
      </c>
      <c r="S13" t="s">
        <v>14</v>
      </c>
      <c r="T13">
        <v>0.28403430000000002</v>
      </c>
      <c r="U13">
        <v>32.599999999999994</v>
      </c>
      <c r="V13">
        <v>9</v>
      </c>
      <c r="W13">
        <v>0.22930185843997941</v>
      </c>
      <c r="X13">
        <v>64.530185843997941</v>
      </c>
    </row>
    <row r="14" spans="1:24" x14ac:dyDescent="0.2">
      <c r="A14">
        <v>1</v>
      </c>
      <c r="B14">
        <v>20</v>
      </c>
      <c r="C14" t="s">
        <v>5</v>
      </c>
      <c r="D14">
        <v>0.25289220000000001</v>
      </c>
      <c r="E14">
        <v>33.199999999999996</v>
      </c>
      <c r="F14">
        <v>14</v>
      </c>
      <c r="G14">
        <v>0.2536752734581047</v>
      </c>
      <c r="H14">
        <v>72.567527345810461</v>
      </c>
      <c r="I14">
        <v>1</v>
      </c>
      <c r="J14">
        <v>20</v>
      </c>
      <c r="K14" t="s">
        <v>12</v>
      </c>
      <c r="L14">
        <v>0.38256669999999998</v>
      </c>
      <c r="M14">
        <v>32.599999999999994</v>
      </c>
      <c r="N14">
        <v>9</v>
      </c>
      <c r="O14">
        <v>0.22930185843997941</v>
      </c>
      <c r="P14">
        <v>64.530185843997941</v>
      </c>
      <c r="Q14">
        <v>1</v>
      </c>
      <c r="R14">
        <v>20</v>
      </c>
      <c r="S14" t="s">
        <v>14</v>
      </c>
      <c r="T14">
        <v>0.2749239</v>
      </c>
      <c r="U14">
        <v>32.599999999999994</v>
      </c>
      <c r="V14">
        <v>10</v>
      </c>
      <c r="W14">
        <v>0.22930185843997941</v>
      </c>
      <c r="X14">
        <v>65.530185843997941</v>
      </c>
    </row>
    <row r="15" spans="1:24" x14ac:dyDescent="0.2">
      <c r="A15">
        <v>1</v>
      </c>
      <c r="B15">
        <v>20</v>
      </c>
      <c r="C15" t="s">
        <v>5</v>
      </c>
      <c r="D15">
        <v>0.24691450000000001</v>
      </c>
      <c r="E15">
        <v>32.599999999999994</v>
      </c>
      <c r="F15">
        <v>12</v>
      </c>
      <c r="G15">
        <v>0.22930185843997941</v>
      </c>
      <c r="H15">
        <v>67.530185843997941</v>
      </c>
      <c r="I15">
        <v>1</v>
      </c>
      <c r="J15">
        <v>20</v>
      </c>
      <c r="K15" t="s">
        <v>12</v>
      </c>
      <c r="L15">
        <v>0.40756959999999998</v>
      </c>
      <c r="M15">
        <v>33.199999999999996</v>
      </c>
      <c r="N15">
        <v>8</v>
      </c>
      <c r="O15">
        <v>0.2536752734581047</v>
      </c>
      <c r="P15">
        <v>66.567527345810461</v>
      </c>
      <c r="Q15">
        <v>1</v>
      </c>
      <c r="R15">
        <v>20</v>
      </c>
      <c r="S15" t="s">
        <v>14</v>
      </c>
      <c r="T15">
        <v>0.27077250000000003</v>
      </c>
      <c r="U15">
        <v>32.599999999999994</v>
      </c>
      <c r="V15">
        <v>9</v>
      </c>
      <c r="W15">
        <v>0.22930185843997941</v>
      </c>
      <c r="X15">
        <v>64.530185843997941</v>
      </c>
    </row>
    <row r="16" spans="1:24" x14ac:dyDescent="0.2">
      <c r="A16">
        <v>1</v>
      </c>
      <c r="B16">
        <v>20</v>
      </c>
      <c r="C16" t="s">
        <v>5</v>
      </c>
      <c r="D16">
        <v>0.24701980000000001</v>
      </c>
      <c r="E16">
        <v>35</v>
      </c>
      <c r="F16">
        <v>12</v>
      </c>
      <c r="G16">
        <v>0.25094783918674474</v>
      </c>
      <c r="H16">
        <v>72.094783918674466</v>
      </c>
      <c r="I16">
        <v>1</v>
      </c>
      <c r="J16">
        <v>20</v>
      </c>
      <c r="K16" t="s">
        <v>12</v>
      </c>
      <c r="L16">
        <v>0.41694599999999998</v>
      </c>
      <c r="M16">
        <v>32.599999999999994</v>
      </c>
      <c r="N16">
        <v>11</v>
      </c>
      <c r="O16">
        <v>0.22930185843997941</v>
      </c>
      <c r="P16">
        <v>66.530185843997941</v>
      </c>
      <c r="Q16">
        <v>1</v>
      </c>
      <c r="R16">
        <v>20</v>
      </c>
      <c r="S16" t="s">
        <v>14</v>
      </c>
      <c r="T16">
        <v>0.28105819999999998</v>
      </c>
      <c r="U16">
        <v>32.599999999999994</v>
      </c>
      <c r="V16">
        <v>9</v>
      </c>
      <c r="W16">
        <v>0.22930185843997941</v>
      </c>
      <c r="X16">
        <v>64.530185843997941</v>
      </c>
    </row>
    <row r="17" spans="1:24" x14ac:dyDescent="0.2">
      <c r="A17">
        <v>1</v>
      </c>
      <c r="B17">
        <v>20</v>
      </c>
      <c r="C17" t="s">
        <v>5</v>
      </c>
      <c r="D17">
        <v>0.2505599</v>
      </c>
      <c r="E17">
        <v>34.399999999999991</v>
      </c>
      <c r="F17">
        <v>12</v>
      </c>
      <c r="G17">
        <v>0.25436518859153151</v>
      </c>
      <c r="H17">
        <v>71.836518859153145</v>
      </c>
      <c r="I17">
        <v>1</v>
      </c>
      <c r="J17">
        <v>20</v>
      </c>
      <c r="K17" t="s">
        <v>12</v>
      </c>
      <c r="L17">
        <v>0.41766330000000002</v>
      </c>
      <c r="M17">
        <v>33.199999999999996</v>
      </c>
      <c r="N17">
        <v>8</v>
      </c>
      <c r="O17">
        <v>0.2536752734581047</v>
      </c>
      <c r="P17">
        <v>66.567527345810461</v>
      </c>
      <c r="Q17">
        <v>1</v>
      </c>
      <c r="R17">
        <v>20</v>
      </c>
      <c r="S17" t="s">
        <v>14</v>
      </c>
      <c r="T17">
        <v>0.27112259999999999</v>
      </c>
      <c r="U17">
        <v>32.599999999999994</v>
      </c>
      <c r="V17">
        <v>9</v>
      </c>
      <c r="W17">
        <v>0.22930185843997941</v>
      </c>
      <c r="X17">
        <v>64.530185843997941</v>
      </c>
    </row>
    <row r="18" spans="1:24" x14ac:dyDescent="0.2">
      <c r="A18">
        <v>1</v>
      </c>
      <c r="B18">
        <v>20</v>
      </c>
      <c r="C18" t="s">
        <v>5</v>
      </c>
      <c r="D18">
        <v>0.25977099999999997</v>
      </c>
      <c r="E18">
        <v>32.599999999999994</v>
      </c>
      <c r="F18">
        <v>16</v>
      </c>
      <c r="G18">
        <v>0.22930185843997941</v>
      </c>
      <c r="H18">
        <v>71.530185843997941</v>
      </c>
      <c r="I18">
        <v>1</v>
      </c>
      <c r="J18">
        <v>20</v>
      </c>
      <c r="K18" t="s">
        <v>12</v>
      </c>
      <c r="L18">
        <v>0.43754979999999999</v>
      </c>
      <c r="M18">
        <v>32.599999999999994</v>
      </c>
      <c r="N18">
        <v>9</v>
      </c>
      <c r="O18">
        <v>0.22930185843997941</v>
      </c>
      <c r="P18">
        <v>64.530185843997941</v>
      </c>
      <c r="Q18">
        <v>1</v>
      </c>
      <c r="R18">
        <v>20</v>
      </c>
      <c r="S18" t="s">
        <v>14</v>
      </c>
      <c r="T18">
        <v>0.29162320000000003</v>
      </c>
      <c r="U18">
        <v>32.599999999999994</v>
      </c>
      <c r="V18">
        <v>9</v>
      </c>
      <c r="W18">
        <v>0.22930185843997941</v>
      </c>
      <c r="X18">
        <v>64.530185843997941</v>
      </c>
    </row>
    <row r="19" spans="1:24" x14ac:dyDescent="0.2">
      <c r="A19">
        <v>1</v>
      </c>
      <c r="B19">
        <v>20</v>
      </c>
      <c r="C19" t="s">
        <v>5</v>
      </c>
      <c r="D19">
        <v>0.24693010000000001</v>
      </c>
      <c r="E19">
        <v>33.199999999999996</v>
      </c>
      <c r="F19">
        <v>12</v>
      </c>
      <c r="G19">
        <v>0.2536752734581047</v>
      </c>
      <c r="H19">
        <v>70.567527345810461</v>
      </c>
      <c r="I19">
        <v>1</v>
      </c>
      <c r="J19">
        <v>20</v>
      </c>
      <c r="K19" t="s">
        <v>12</v>
      </c>
      <c r="L19">
        <v>0.41211110000000001</v>
      </c>
      <c r="M19">
        <v>32.599999999999994</v>
      </c>
      <c r="N19">
        <v>9</v>
      </c>
      <c r="O19">
        <v>0.22930185843997941</v>
      </c>
      <c r="P19">
        <v>64.530185843997941</v>
      </c>
      <c r="Q19">
        <v>1</v>
      </c>
      <c r="R19">
        <v>20</v>
      </c>
      <c r="S19" t="s">
        <v>14</v>
      </c>
      <c r="T19">
        <v>0.27123249999999999</v>
      </c>
      <c r="U19">
        <v>32.599999999999994</v>
      </c>
      <c r="V19">
        <v>9</v>
      </c>
      <c r="W19">
        <v>0.22930185843997941</v>
      </c>
      <c r="X19">
        <v>64.530185843997941</v>
      </c>
    </row>
    <row r="20" spans="1:24" x14ac:dyDescent="0.2">
      <c r="A20">
        <v>1</v>
      </c>
      <c r="B20">
        <v>20</v>
      </c>
      <c r="C20" t="s">
        <v>5</v>
      </c>
      <c r="D20">
        <v>0.24866659999999999</v>
      </c>
      <c r="E20">
        <v>36.4</v>
      </c>
      <c r="F20">
        <v>11</v>
      </c>
      <c r="G20">
        <v>0.24872844423256968</v>
      </c>
      <c r="H20">
        <v>72.27284442325697</v>
      </c>
      <c r="I20">
        <v>1</v>
      </c>
      <c r="J20">
        <v>20</v>
      </c>
      <c r="K20" t="s">
        <v>12</v>
      </c>
      <c r="L20">
        <v>0.41860969999999997</v>
      </c>
      <c r="M20">
        <v>32.599999999999994</v>
      </c>
      <c r="N20">
        <v>8</v>
      </c>
      <c r="O20">
        <v>0.22930185843997941</v>
      </c>
      <c r="P20">
        <v>63.530185843997934</v>
      </c>
      <c r="Q20">
        <v>1</v>
      </c>
      <c r="R20">
        <v>20</v>
      </c>
      <c r="S20" t="s">
        <v>14</v>
      </c>
      <c r="T20">
        <v>0.2656057</v>
      </c>
      <c r="U20">
        <v>32.599999999999994</v>
      </c>
      <c r="V20">
        <v>8</v>
      </c>
      <c r="W20">
        <v>0.22930185843997941</v>
      </c>
      <c r="X20">
        <v>63.530185843997934</v>
      </c>
    </row>
    <row r="21" spans="1:24" x14ac:dyDescent="0.2">
      <c r="A21">
        <v>1</v>
      </c>
      <c r="B21">
        <v>20</v>
      </c>
      <c r="C21" t="s">
        <v>5</v>
      </c>
      <c r="D21">
        <v>0.25314160000000002</v>
      </c>
      <c r="E21">
        <v>35</v>
      </c>
      <c r="F21">
        <v>11</v>
      </c>
      <c r="G21">
        <v>0.25094783918674474</v>
      </c>
      <c r="H21">
        <v>71.094783918674466</v>
      </c>
      <c r="I21">
        <v>1</v>
      </c>
      <c r="J21">
        <v>20</v>
      </c>
      <c r="K21" t="s">
        <v>12</v>
      </c>
      <c r="L21">
        <v>0.3991865</v>
      </c>
      <c r="M21">
        <v>33.199999999999996</v>
      </c>
      <c r="N21">
        <v>8</v>
      </c>
      <c r="O21">
        <v>0.2536752734581047</v>
      </c>
      <c r="P21">
        <v>66.567527345810461</v>
      </c>
      <c r="Q21">
        <v>1</v>
      </c>
      <c r="R21">
        <v>20</v>
      </c>
      <c r="S21" t="s">
        <v>14</v>
      </c>
      <c r="T21">
        <v>0.29474260000000002</v>
      </c>
      <c r="U21">
        <v>32.599999999999994</v>
      </c>
      <c r="V21">
        <v>9</v>
      </c>
      <c r="W21">
        <v>0.22930185843997941</v>
      </c>
      <c r="X21">
        <v>64.530185843997941</v>
      </c>
    </row>
    <row r="22" spans="1:24" x14ac:dyDescent="0.2">
      <c r="A22">
        <v>1</v>
      </c>
      <c r="B22">
        <v>20</v>
      </c>
      <c r="C22" t="s">
        <v>5</v>
      </c>
      <c r="D22">
        <v>0.24939629999999999</v>
      </c>
      <c r="E22">
        <v>34.399999999999991</v>
      </c>
      <c r="F22">
        <v>12</v>
      </c>
      <c r="G22">
        <v>0.25436518859153151</v>
      </c>
      <c r="H22">
        <v>71.836518859153145</v>
      </c>
      <c r="I22">
        <v>1</v>
      </c>
      <c r="J22">
        <v>20</v>
      </c>
      <c r="K22" t="s">
        <v>12</v>
      </c>
      <c r="L22">
        <v>0.42649480000000001</v>
      </c>
      <c r="M22">
        <v>33.199999999999996</v>
      </c>
      <c r="N22">
        <v>8</v>
      </c>
      <c r="O22">
        <v>0.2536752734581047</v>
      </c>
      <c r="P22">
        <v>66.567527345810461</v>
      </c>
      <c r="Q22">
        <v>1</v>
      </c>
      <c r="R22">
        <v>20</v>
      </c>
      <c r="S22" t="s">
        <v>14</v>
      </c>
      <c r="T22">
        <v>0.29573329999999998</v>
      </c>
      <c r="U22">
        <v>32.599999999999994</v>
      </c>
      <c r="V22">
        <v>9</v>
      </c>
      <c r="W22">
        <v>0.22930185843997941</v>
      </c>
      <c r="X22">
        <v>64.530185843997941</v>
      </c>
    </row>
    <row r="23" spans="1:24" x14ac:dyDescent="0.2">
      <c r="A23">
        <v>1</v>
      </c>
      <c r="B23">
        <v>20</v>
      </c>
      <c r="C23" t="s">
        <v>5</v>
      </c>
      <c r="D23">
        <v>0.23963570000000001</v>
      </c>
      <c r="E23">
        <v>32.599999999999994</v>
      </c>
      <c r="F23">
        <v>17</v>
      </c>
      <c r="G23">
        <v>0.22930185843997941</v>
      </c>
      <c r="H23">
        <v>72.530185843997941</v>
      </c>
      <c r="I23">
        <v>1</v>
      </c>
      <c r="J23">
        <v>20</v>
      </c>
      <c r="K23" t="s">
        <v>12</v>
      </c>
      <c r="L23">
        <v>0.41955500000000001</v>
      </c>
      <c r="M23">
        <v>32.599999999999994</v>
      </c>
      <c r="N23">
        <v>9</v>
      </c>
      <c r="O23">
        <v>0.22930185843997941</v>
      </c>
      <c r="P23">
        <v>64.530185843997941</v>
      </c>
      <c r="Q23">
        <v>1</v>
      </c>
      <c r="R23">
        <v>20</v>
      </c>
      <c r="S23" t="s">
        <v>14</v>
      </c>
      <c r="T23">
        <v>0.27368340000000002</v>
      </c>
      <c r="U23">
        <v>32.599999999999994</v>
      </c>
      <c r="V23">
        <v>9</v>
      </c>
      <c r="W23">
        <v>0.22930185843997941</v>
      </c>
      <c r="X23">
        <v>64.530185843997941</v>
      </c>
    </row>
    <row r="24" spans="1:24" x14ac:dyDescent="0.2">
      <c r="A24">
        <v>1</v>
      </c>
      <c r="B24">
        <v>20</v>
      </c>
      <c r="C24" t="s">
        <v>5</v>
      </c>
      <c r="D24">
        <v>0.26937440000000001</v>
      </c>
      <c r="E24">
        <v>34.399999999999991</v>
      </c>
      <c r="F24">
        <v>14</v>
      </c>
      <c r="G24">
        <v>0.25436518859153151</v>
      </c>
      <c r="H24">
        <v>73.836518859153145</v>
      </c>
      <c r="I24">
        <v>1</v>
      </c>
      <c r="J24">
        <v>20</v>
      </c>
      <c r="K24" t="s">
        <v>12</v>
      </c>
      <c r="L24">
        <v>0.42495880000000003</v>
      </c>
      <c r="M24">
        <v>33.399999999999991</v>
      </c>
      <c r="N24">
        <v>9</v>
      </c>
      <c r="O24">
        <v>0.22930185843997941</v>
      </c>
      <c r="P24">
        <v>65.330185843997924</v>
      </c>
      <c r="Q24">
        <v>1</v>
      </c>
      <c r="R24">
        <v>20</v>
      </c>
      <c r="S24" t="s">
        <v>14</v>
      </c>
      <c r="T24">
        <v>0.2789875</v>
      </c>
      <c r="U24">
        <v>34.399999999999991</v>
      </c>
      <c r="V24">
        <v>5</v>
      </c>
      <c r="W24">
        <v>0.25436518859153151</v>
      </c>
      <c r="X24">
        <v>64.836518859153145</v>
      </c>
    </row>
    <row r="25" spans="1:24" x14ac:dyDescent="0.2">
      <c r="A25">
        <v>1</v>
      </c>
      <c r="B25">
        <v>20</v>
      </c>
      <c r="C25" t="s">
        <v>5</v>
      </c>
      <c r="D25">
        <v>0.24581829999999999</v>
      </c>
      <c r="E25">
        <v>32.599999999999994</v>
      </c>
      <c r="F25">
        <v>14</v>
      </c>
      <c r="G25">
        <v>0.22930185843997941</v>
      </c>
      <c r="H25">
        <v>69.530185843997941</v>
      </c>
      <c r="I25">
        <v>1</v>
      </c>
      <c r="J25">
        <v>20</v>
      </c>
      <c r="K25" t="s">
        <v>12</v>
      </c>
      <c r="L25">
        <v>0.43840519999999999</v>
      </c>
      <c r="M25">
        <v>33.399999999999991</v>
      </c>
      <c r="N25">
        <v>8</v>
      </c>
      <c r="O25">
        <v>0.22930185843997941</v>
      </c>
      <c r="P25">
        <v>64.330185843997924</v>
      </c>
      <c r="Q25">
        <v>1</v>
      </c>
      <c r="R25">
        <v>20</v>
      </c>
      <c r="S25" t="s">
        <v>14</v>
      </c>
      <c r="T25">
        <v>0.30217480000000002</v>
      </c>
      <c r="U25">
        <v>32.599999999999994</v>
      </c>
      <c r="V25">
        <v>9</v>
      </c>
      <c r="W25">
        <v>0.22930185843997941</v>
      </c>
      <c r="X25">
        <v>64.530185843997941</v>
      </c>
    </row>
    <row r="26" spans="1:24" x14ac:dyDescent="0.2">
      <c r="A26">
        <v>1</v>
      </c>
      <c r="B26">
        <v>20</v>
      </c>
      <c r="C26" t="s">
        <v>5</v>
      </c>
      <c r="D26">
        <v>0.2525</v>
      </c>
      <c r="E26">
        <v>34.399999999999991</v>
      </c>
      <c r="F26">
        <v>13</v>
      </c>
      <c r="G26">
        <v>0.25436518859153151</v>
      </c>
      <c r="H26">
        <v>72.836518859153145</v>
      </c>
      <c r="I26">
        <v>1</v>
      </c>
      <c r="J26">
        <v>20</v>
      </c>
      <c r="K26" t="s">
        <v>12</v>
      </c>
      <c r="L26">
        <v>0.41372059999999999</v>
      </c>
      <c r="M26">
        <v>33.199999999999996</v>
      </c>
      <c r="N26">
        <v>8</v>
      </c>
      <c r="O26">
        <v>0.2536752734581047</v>
      </c>
      <c r="P26">
        <v>66.567527345810461</v>
      </c>
      <c r="Q26">
        <v>1</v>
      </c>
      <c r="R26">
        <v>20</v>
      </c>
      <c r="S26" t="s">
        <v>14</v>
      </c>
      <c r="T26">
        <v>0.29445139999999997</v>
      </c>
      <c r="U26">
        <v>32.599999999999994</v>
      </c>
      <c r="V26">
        <v>9</v>
      </c>
      <c r="W26">
        <v>0.22930185843997941</v>
      </c>
      <c r="X26">
        <v>64.530185843997941</v>
      </c>
    </row>
    <row r="27" spans="1:24" x14ac:dyDescent="0.2">
      <c r="A27">
        <v>1</v>
      </c>
      <c r="B27">
        <v>20</v>
      </c>
      <c r="C27" t="s">
        <v>5</v>
      </c>
      <c r="D27">
        <v>0.26646769999999997</v>
      </c>
      <c r="E27">
        <v>34.399999999999991</v>
      </c>
      <c r="F27">
        <v>13</v>
      </c>
      <c r="G27">
        <v>0.25436518859153151</v>
      </c>
      <c r="H27">
        <v>72.836518859153145</v>
      </c>
      <c r="I27">
        <v>1</v>
      </c>
      <c r="J27">
        <v>20</v>
      </c>
      <c r="K27" t="s">
        <v>12</v>
      </c>
      <c r="L27">
        <v>0.41098620000000002</v>
      </c>
      <c r="M27">
        <v>32.599999999999994</v>
      </c>
      <c r="N27">
        <v>8</v>
      </c>
      <c r="O27">
        <v>0.22930185843997941</v>
      </c>
      <c r="P27">
        <v>63.530185843997934</v>
      </c>
      <c r="Q27">
        <v>1</v>
      </c>
      <c r="R27">
        <v>20</v>
      </c>
      <c r="S27" t="s">
        <v>14</v>
      </c>
      <c r="T27">
        <v>0.2907962</v>
      </c>
      <c r="U27">
        <v>32.599999999999994</v>
      </c>
      <c r="V27">
        <v>9</v>
      </c>
      <c r="W27">
        <v>0.22930185843997941</v>
      </c>
      <c r="X27">
        <v>64.530185843997941</v>
      </c>
    </row>
    <row r="28" spans="1:24" x14ac:dyDescent="0.2">
      <c r="A28">
        <v>1</v>
      </c>
      <c r="B28">
        <v>20</v>
      </c>
      <c r="C28" t="s">
        <v>5</v>
      </c>
      <c r="D28">
        <v>0.2494094</v>
      </c>
      <c r="E28">
        <v>32.599999999999994</v>
      </c>
      <c r="F28">
        <v>15</v>
      </c>
      <c r="G28">
        <v>0.22930185843997941</v>
      </c>
      <c r="H28">
        <v>70.530185843997941</v>
      </c>
      <c r="I28">
        <v>1</v>
      </c>
      <c r="J28">
        <v>20</v>
      </c>
      <c r="K28" t="s">
        <v>12</v>
      </c>
      <c r="L28">
        <v>0.42200310000000002</v>
      </c>
      <c r="M28">
        <v>32.599999999999994</v>
      </c>
      <c r="N28">
        <v>10</v>
      </c>
      <c r="O28">
        <v>0.22930185843997941</v>
      </c>
      <c r="P28">
        <v>65.530185843997941</v>
      </c>
      <c r="Q28">
        <v>1</v>
      </c>
      <c r="R28">
        <v>20</v>
      </c>
      <c r="S28" t="s">
        <v>14</v>
      </c>
      <c r="T28">
        <v>0.27379140000000002</v>
      </c>
      <c r="U28">
        <v>32.599999999999994</v>
      </c>
      <c r="V28">
        <v>8</v>
      </c>
      <c r="W28">
        <v>0.22930185843997941</v>
      </c>
      <c r="X28">
        <v>63.530185843997934</v>
      </c>
    </row>
    <row r="29" spans="1:24" x14ac:dyDescent="0.2">
      <c r="A29">
        <v>1</v>
      </c>
      <c r="B29">
        <v>20</v>
      </c>
      <c r="C29" t="s">
        <v>5</v>
      </c>
      <c r="D29">
        <v>0.2549053</v>
      </c>
      <c r="E29">
        <v>32.599999999999994</v>
      </c>
      <c r="F29">
        <v>16</v>
      </c>
      <c r="G29">
        <v>0.22930185843997941</v>
      </c>
      <c r="H29">
        <v>71.530185843997941</v>
      </c>
      <c r="I29">
        <v>1</v>
      </c>
      <c r="J29">
        <v>20</v>
      </c>
      <c r="K29" t="s">
        <v>12</v>
      </c>
      <c r="L29">
        <v>0.41580929999999999</v>
      </c>
      <c r="M29">
        <v>32.599999999999994</v>
      </c>
      <c r="N29">
        <v>9</v>
      </c>
      <c r="O29">
        <v>0.22930185843997941</v>
      </c>
      <c r="P29">
        <v>64.530185843997941</v>
      </c>
      <c r="Q29">
        <v>1</v>
      </c>
      <c r="R29">
        <v>20</v>
      </c>
      <c r="S29" t="s">
        <v>14</v>
      </c>
      <c r="T29">
        <v>0.27802389999999999</v>
      </c>
      <c r="U29">
        <v>32.599999999999994</v>
      </c>
      <c r="V29">
        <v>9</v>
      </c>
      <c r="W29">
        <v>0.22930185843997941</v>
      </c>
      <c r="X29">
        <v>64.530185843997941</v>
      </c>
    </row>
    <row r="30" spans="1:24" x14ac:dyDescent="0.2">
      <c r="A30">
        <v>1</v>
      </c>
      <c r="B30">
        <v>20</v>
      </c>
      <c r="C30" t="s">
        <v>5</v>
      </c>
      <c r="D30">
        <v>0.2647505</v>
      </c>
      <c r="E30">
        <v>32.599999999999994</v>
      </c>
      <c r="F30">
        <v>17</v>
      </c>
      <c r="G30">
        <v>0.22930185843997941</v>
      </c>
      <c r="H30">
        <v>72.530185843997941</v>
      </c>
      <c r="I30">
        <v>1</v>
      </c>
      <c r="J30">
        <v>20</v>
      </c>
      <c r="K30" t="s">
        <v>12</v>
      </c>
      <c r="L30">
        <v>0.4107883</v>
      </c>
      <c r="M30">
        <v>33.199999999999996</v>
      </c>
      <c r="N30">
        <v>8</v>
      </c>
      <c r="O30">
        <v>0.2536752734581047</v>
      </c>
      <c r="P30">
        <v>66.567527345810461</v>
      </c>
      <c r="Q30">
        <v>1</v>
      </c>
      <c r="R30">
        <v>20</v>
      </c>
      <c r="S30" t="s">
        <v>14</v>
      </c>
      <c r="T30">
        <v>0.27806439999999999</v>
      </c>
      <c r="U30">
        <v>32.599999999999994</v>
      </c>
      <c r="V30">
        <v>9</v>
      </c>
      <c r="W30">
        <v>0.22930185843997941</v>
      </c>
      <c r="X30">
        <v>64.530185843997941</v>
      </c>
    </row>
    <row r="31" spans="1:24" x14ac:dyDescent="0.2">
      <c r="A31">
        <v>1</v>
      </c>
      <c r="B31">
        <v>20</v>
      </c>
      <c r="C31" t="s">
        <v>5</v>
      </c>
      <c r="D31">
        <v>0.2545636</v>
      </c>
      <c r="E31">
        <v>32.599999999999994</v>
      </c>
      <c r="F31">
        <v>14</v>
      </c>
      <c r="G31">
        <v>0.22930185843997941</v>
      </c>
      <c r="H31">
        <v>69.530185843997941</v>
      </c>
      <c r="I31">
        <v>1</v>
      </c>
      <c r="J31">
        <v>20</v>
      </c>
      <c r="K31" t="s">
        <v>12</v>
      </c>
      <c r="L31">
        <v>0.41016619999999998</v>
      </c>
      <c r="M31">
        <v>33.199999999999996</v>
      </c>
      <c r="N31">
        <v>8</v>
      </c>
      <c r="O31">
        <v>0.2536752734581047</v>
      </c>
      <c r="P31">
        <v>66.567527345810461</v>
      </c>
      <c r="Q31">
        <v>1</v>
      </c>
      <c r="R31">
        <v>20</v>
      </c>
      <c r="S31" t="s">
        <v>14</v>
      </c>
      <c r="T31">
        <v>0.26231480000000001</v>
      </c>
      <c r="U31">
        <v>32.599999999999994</v>
      </c>
      <c r="V31">
        <v>9</v>
      </c>
      <c r="W31">
        <v>0.22930185843997941</v>
      </c>
      <c r="X31">
        <v>64.530185843997941</v>
      </c>
    </row>
    <row r="33" spans="3:24" x14ac:dyDescent="0.2">
      <c r="C33" t="s">
        <v>222</v>
      </c>
      <c r="D33" t="s">
        <v>224</v>
      </c>
      <c r="E33" t="s">
        <v>224</v>
      </c>
      <c r="F33" t="s">
        <v>224</v>
      </c>
      <c r="G33" t="s">
        <v>224</v>
      </c>
      <c r="H33" t="s">
        <v>224</v>
      </c>
      <c r="K33" t="s">
        <v>231</v>
      </c>
      <c r="L33" t="s">
        <v>224</v>
      </c>
      <c r="M33" t="s">
        <v>224</v>
      </c>
      <c r="N33" t="s">
        <v>224</v>
      </c>
      <c r="O33" t="s">
        <v>224</v>
      </c>
      <c r="P33" t="s">
        <v>224</v>
      </c>
      <c r="S33" t="s">
        <v>232</v>
      </c>
      <c r="T33" t="s">
        <v>224</v>
      </c>
      <c r="U33" t="s">
        <v>224</v>
      </c>
      <c r="V33" t="s">
        <v>224</v>
      </c>
      <c r="W33" t="s">
        <v>224</v>
      </c>
      <c r="X33" t="s">
        <v>224</v>
      </c>
    </row>
    <row r="34" spans="3:24" x14ac:dyDescent="0.2">
      <c r="D34">
        <f>MAX(D1:D31)</f>
        <v>0.33357550000000002</v>
      </c>
      <c r="E34">
        <f>MAX(E1:E31)</f>
        <v>36.4</v>
      </c>
      <c r="F34">
        <f>MAX(F1:F31)</f>
        <v>17</v>
      </c>
      <c r="G34">
        <f>MAX(G1:G31)</f>
        <v>0.25794332381556018</v>
      </c>
      <c r="H34">
        <f>MAX(H1:H31)</f>
        <v>73.836518859153145</v>
      </c>
      <c r="L34">
        <f>MAX(L1:L31)</f>
        <v>0.4775643</v>
      </c>
      <c r="M34">
        <f>MAX(M1:M31)</f>
        <v>33.399999999999991</v>
      </c>
      <c r="N34">
        <f>MAX(N1:N31)</f>
        <v>11</v>
      </c>
      <c r="O34">
        <f>MAX(O1:O31)</f>
        <v>0.2536752734581047</v>
      </c>
      <c r="P34">
        <f>MAX(P1:P31)</f>
        <v>66.567527345810461</v>
      </c>
      <c r="T34">
        <f>MAX(T1:T31)</f>
        <v>0.31365520000000002</v>
      </c>
      <c r="U34">
        <f>MAX(U1:U31)</f>
        <v>34.399999999999991</v>
      </c>
      <c r="V34">
        <f>MAX(V1:V31)</f>
        <v>11</v>
      </c>
      <c r="W34">
        <f>MAX(W1:W31)</f>
        <v>0.25436518859153151</v>
      </c>
      <c r="X34">
        <f>MAX(X1:X31)</f>
        <v>67.330185843997924</v>
      </c>
    </row>
    <row r="35" spans="3:24" x14ac:dyDescent="0.2">
      <c r="D35" t="s">
        <v>226</v>
      </c>
      <c r="E35" t="s">
        <v>226</v>
      </c>
      <c r="F35" t="s">
        <v>226</v>
      </c>
      <c r="G35" t="s">
        <v>226</v>
      </c>
      <c r="H35" t="s">
        <v>226</v>
      </c>
      <c r="L35" t="s">
        <v>226</v>
      </c>
      <c r="M35" t="s">
        <v>226</v>
      </c>
      <c r="N35" t="s">
        <v>226</v>
      </c>
      <c r="O35" t="s">
        <v>226</v>
      </c>
      <c r="P35" t="s">
        <v>226</v>
      </c>
      <c r="T35" t="s">
        <v>226</v>
      </c>
      <c r="U35" t="s">
        <v>226</v>
      </c>
      <c r="V35" t="s">
        <v>226</v>
      </c>
      <c r="W35" t="s">
        <v>226</v>
      </c>
      <c r="X35" t="s">
        <v>226</v>
      </c>
    </row>
    <row r="36" spans="3:24" x14ac:dyDescent="0.2">
      <c r="D36">
        <f>MIN(D1:D31)</f>
        <v>0.23963570000000001</v>
      </c>
      <c r="E36">
        <f>MIN(E1:E31)</f>
        <v>32.599999999999994</v>
      </c>
      <c r="F36">
        <f>MIN(F1:F31)</f>
        <v>11</v>
      </c>
      <c r="G36">
        <f>MIN(G1:G31)</f>
        <v>0.22930185843997941</v>
      </c>
      <c r="H36">
        <f>MIN(H1:H31)</f>
        <v>66.530185843997941</v>
      </c>
      <c r="L36">
        <f>MIN(L1:L31)</f>
        <v>0.38256669999999998</v>
      </c>
      <c r="M36">
        <f>MIN(M1:M31)</f>
        <v>32.599999999999994</v>
      </c>
      <c r="N36">
        <f>MIN(N1:N31)</f>
        <v>8</v>
      </c>
      <c r="O36">
        <f>MIN(O1:O31)</f>
        <v>0.22930185843997941</v>
      </c>
      <c r="P36">
        <f>MIN(P1:P31)</f>
        <v>63.530185843997934</v>
      </c>
      <c r="T36">
        <f>MIN(T1:T31)</f>
        <v>0.26231480000000001</v>
      </c>
      <c r="U36">
        <f>MIN(U1:U31)</f>
        <v>32.599999999999994</v>
      </c>
      <c r="V36">
        <f>MIN(V1:V31)</f>
        <v>5</v>
      </c>
      <c r="W36">
        <f>MIN(W1:W31)</f>
        <v>0.22930185843997941</v>
      </c>
      <c r="X36">
        <f>MIN(X1:X31)</f>
        <v>63.530185843997934</v>
      </c>
    </row>
    <row r="37" spans="3:24" x14ac:dyDescent="0.2">
      <c r="D37" t="s">
        <v>228</v>
      </c>
      <c r="E37" t="s">
        <v>228</v>
      </c>
      <c r="F37" t="s">
        <v>228</v>
      </c>
      <c r="G37" t="s">
        <v>228</v>
      </c>
      <c r="H37" t="s">
        <v>228</v>
      </c>
      <c r="L37" t="s">
        <v>228</v>
      </c>
      <c r="M37" t="s">
        <v>228</v>
      </c>
      <c r="N37" t="s">
        <v>228</v>
      </c>
      <c r="O37" t="s">
        <v>228</v>
      </c>
      <c r="P37" t="s">
        <v>228</v>
      </c>
      <c r="T37" t="s">
        <v>228</v>
      </c>
      <c r="U37" t="s">
        <v>228</v>
      </c>
      <c r="V37" t="s">
        <v>228</v>
      </c>
      <c r="W37" t="s">
        <v>228</v>
      </c>
      <c r="X37" t="s">
        <v>228</v>
      </c>
    </row>
    <row r="38" spans="3:24" x14ac:dyDescent="0.2">
      <c r="D38">
        <f>AVERAGE(D1:D31)</f>
        <v>0.26031144666666667</v>
      </c>
      <c r="E38">
        <f>AVERAGE(E1:E31)</f>
        <v>33.753333333333337</v>
      </c>
      <c r="F38">
        <f>AVERAGE(F1:F31)</f>
        <v>13.266666666666667</v>
      </c>
      <c r="G38">
        <f>AVERAGE(G1:G31)</f>
        <v>0.24427417681148397</v>
      </c>
      <c r="H38">
        <f>AVERAGE(H1:H31)</f>
        <v>71.447417681148394</v>
      </c>
      <c r="L38">
        <f>AVERAGE(L1:L31)</f>
        <v>0.42044947333333332</v>
      </c>
      <c r="M38">
        <f>AVERAGE(M1:M31)</f>
        <v>32.95333333333334</v>
      </c>
      <c r="N38">
        <f>AVERAGE(N1:N31)</f>
        <v>8.3666666666666671</v>
      </c>
      <c r="O38">
        <f>AVERAGE(O1:O31)</f>
        <v>0.24148856594904192</v>
      </c>
      <c r="P38">
        <f>AVERAGE(P1:P31)</f>
        <v>65.468856594904224</v>
      </c>
      <c r="T38">
        <f>AVERAGE(T1:T31)</f>
        <v>0.28439477333333341</v>
      </c>
      <c r="U38">
        <f>AVERAGE(U1:U31)</f>
        <v>32.686666666666682</v>
      </c>
      <c r="V38">
        <f>AVERAGE(V1:V31)</f>
        <v>8.9666666666666668</v>
      </c>
      <c r="W38">
        <f>AVERAGE(W1:W31)</f>
        <v>0.23013730277836439</v>
      </c>
      <c r="X38">
        <f>AVERAGE(X1:X31)</f>
        <v>64.667063611169795</v>
      </c>
    </row>
    <row r="39" spans="3:24" x14ac:dyDescent="0.2">
      <c r="D39" t="s">
        <v>230</v>
      </c>
      <c r="E39" t="s">
        <v>230</v>
      </c>
      <c r="F39" t="s">
        <v>230</v>
      </c>
      <c r="G39" t="s">
        <v>230</v>
      </c>
      <c r="H39" t="s">
        <v>230</v>
      </c>
      <c r="L39" t="s">
        <v>230</v>
      </c>
      <c r="M39" t="s">
        <v>230</v>
      </c>
      <c r="N39" t="s">
        <v>230</v>
      </c>
      <c r="O39" t="s">
        <v>230</v>
      </c>
      <c r="P39" t="s">
        <v>230</v>
      </c>
      <c r="T39" t="s">
        <v>230</v>
      </c>
      <c r="U39" t="s">
        <v>230</v>
      </c>
      <c r="V39" t="s">
        <v>230</v>
      </c>
      <c r="W39" t="s">
        <v>230</v>
      </c>
      <c r="X39" t="s">
        <v>230</v>
      </c>
    </row>
    <row r="40" spans="3:24" x14ac:dyDescent="0.2">
      <c r="D40">
        <f>STDEV(D1:D31)</f>
        <v>2.2259021391224477E-2</v>
      </c>
      <c r="E40">
        <f>STDEV(E1:E31)</f>
        <v>1.1199548430962354</v>
      </c>
      <c r="F40">
        <f>STDEV(F1:F31)</f>
        <v>1.8925139881655573</v>
      </c>
      <c r="G40">
        <f>STDEV(G1:G31)</f>
        <v>1.1745221473957623E-2</v>
      </c>
      <c r="H40">
        <f>STDEV(H1:H31)</f>
        <v>1.6042529922008568</v>
      </c>
      <c r="L40">
        <f>STDEV(L1:L31)</f>
        <v>2.0012628785722443E-2</v>
      </c>
      <c r="M40">
        <f>STDEV(M1:M31)</f>
        <v>0.31811224795479154</v>
      </c>
      <c r="N40">
        <f>STDEV(N1:N31)</f>
        <v>0.7183954022841379</v>
      </c>
      <c r="O40">
        <f>STDEV(O1:O31)</f>
        <v>1.2395042386795584E-2</v>
      </c>
      <c r="P40">
        <f>STDEV(P1:P31)</f>
        <v>1.2799289119121229</v>
      </c>
      <c r="T40">
        <f>STDEV(T1:T31)</f>
        <v>1.3408509005052532E-2</v>
      </c>
      <c r="U40">
        <f>STDEV(U1:U31)</f>
        <v>0.35499716689819738</v>
      </c>
      <c r="V40">
        <f>STDEV(V1:V31)</f>
        <v>1.0333518722845689</v>
      </c>
      <c r="W40">
        <f>STDEV(W1:W31)</f>
        <v>4.5759170967348212E-3</v>
      </c>
      <c r="X40">
        <f>STDEV(X1:X31)</f>
        <v>0.79593307251551393</v>
      </c>
    </row>
  </sheetData>
  <autoFilter ref="C1:C91" xr:uid="{54B0EF44-8BFD-4A4C-9800-A51C4DDB66D8}">
    <sortState xmlns:xlrd2="http://schemas.microsoft.com/office/spreadsheetml/2017/richdata2" ref="A2:H91">
      <sortCondition ref="C1:C9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D2FC-29F6-4617-B7E9-B1F47C636D2B}">
  <dimension ref="A1:X40"/>
  <sheetViews>
    <sheetView workbookViewId="0">
      <selection activeCell="P58" sqref="P58"/>
    </sheetView>
  </sheetViews>
  <sheetFormatPr defaultRowHeight="14.25" x14ac:dyDescent="0.2"/>
  <sheetData>
    <row r="1" spans="1:24" x14ac:dyDescent="0.2">
      <c r="A1" t="s">
        <v>220</v>
      </c>
      <c r="B1" t="s">
        <v>3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220</v>
      </c>
      <c r="J1" t="s">
        <v>3</v>
      </c>
      <c r="K1" t="s">
        <v>4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220</v>
      </c>
      <c r="R1" t="s">
        <v>3</v>
      </c>
      <c r="S1" t="s">
        <v>4</v>
      </c>
      <c r="T1" t="s">
        <v>6</v>
      </c>
      <c r="U1" t="s">
        <v>7</v>
      </c>
      <c r="V1" t="s">
        <v>8</v>
      </c>
      <c r="W1" t="s">
        <v>9</v>
      </c>
      <c r="X1" t="s">
        <v>10</v>
      </c>
    </row>
    <row r="2" spans="1:24" x14ac:dyDescent="0.2">
      <c r="A2">
        <v>2</v>
      </c>
      <c r="B2">
        <v>30</v>
      </c>
      <c r="C2" t="s">
        <v>5</v>
      </c>
      <c r="D2">
        <v>0.39531480000000002</v>
      </c>
      <c r="E2">
        <v>53.399999999999991</v>
      </c>
      <c r="F2">
        <v>27</v>
      </c>
      <c r="G2">
        <v>0.17185368367366327</v>
      </c>
      <c r="H2">
        <v>97.585368367366314</v>
      </c>
      <c r="I2">
        <v>2</v>
      </c>
      <c r="J2">
        <v>30</v>
      </c>
      <c r="K2" t="s">
        <v>12</v>
      </c>
      <c r="L2">
        <v>0.68097549999999996</v>
      </c>
      <c r="M2">
        <v>54.599999999999987</v>
      </c>
      <c r="N2">
        <v>19</v>
      </c>
      <c r="O2">
        <v>0.16963791265880057</v>
      </c>
      <c r="P2">
        <v>90.563791265880042</v>
      </c>
      <c r="Q2">
        <v>2</v>
      </c>
      <c r="R2">
        <v>30</v>
      </c>
      <c r="S2" t="s">
        <v>14</v>
      </c>
      <c r="T2">
        <v>0.41769010000000001</v>
      </c>
      <c r="U2">
        <v>52.199999999999989</v>
      </c>
      <c r="V2">
        <v>13</v>
      </c>
      <c r="W2">
        <v>0.17510348858216454</v>
      </c>
      <c r="X2">
        <v>82.710348858216435</v>
      </c>
    </row>
    <row r="3" spans="1:24" x14ac:dyDescent="0.2">
      <c r="A3">
        <v>2</v>
      </c>
      <c r="B3">
        <v>30</v>
      </c>
      <c r="C3" t="s">
        <v>5</v>
      </c>
      <c r="D3">
        <v>0.38437850000000001</v>
      </c>
      <c r="E3">
        <v>56.199999999999989</v>
      </c>
      <c r="F3">
        <v>26</v>
      </c>
      <c r="G3">
        <v>0.16963791265880057</v>
      </c>
      <c r="H3">
        <v>99.16379126588005</v>
      </c>
      <c r="I3">
        <v>2</v>
      </c>
      <c r="J3">
        <v>30</v>
      </c>
      <c r="K3" t="s">
        <v>12</v>
      </c>
      <c r="L3">
        <v>0.67256879999999997</v>
      </c>
      <c r="M3">
        <v>51.999999999999986</v>
      </c>
      <c r="N3">
        <v>21</v>
      </c>
      <c r="O3">
        <v>0.17360739953810886</v>
      </c>
      <c r="P3">
        <v>90.360739953810878</v>
      </c>
      <c r="Q3">
        <v>2</v>
      </c>
      <c r="R3">
        <v>30</v>
      </c>
      <c r="S3" t="s">
        <v>14</v>
      </c>
      <c r="T3">
        <v>0.43272549999999999</v>
      </c>
      <c r="U3">
        <v>51.399999999999991</v>
      </c>
      <c r="V3">
        <v>11</v>
      </c>
      <c r="W3">
        <v>0.17510348858216454</v>
      </c>
      <c r="X3">
        <v>79.910348858216452</v>
      </c>
    </row>
    <row r="4" spans="1:24" x14ac:dyDescent="0.2">
      <c r="A4">
        <v>2</v>
      </c>
      <c r="B4">
        <v>30</v>
      </c>
      <c r="C4" t="s">
        <v>5</v>
      </c>
      <c r="D4">
        <v>0.39329829999999999</v>
      </c>
      <c r="E4">
        <v>54.399999999999984</v>
      </c>
      <c r="F4">
        <v>27</v>
      </c>
      <c r="G4">
        <v>0.17360739953810886</v>
      </c>
      <c r="H4">
        <v>98.760739953810869</v>
      </c>
      <c r="I4">
        <v>2</v>
      </c>
      <c r="J4">
        <v>30</v>
      </c>
      <c r="K4" t="s">
        <v>12</v>
      </c>
      <c r="L4">
        <v>0.64943609999999996</v>
      </c>
      <c r="M4">
        <v>55.399999999999984</v>
      </c>
      <c r="N4">
        <v>18</v>
      </c>
      <c r="O4">
        <v>0.16963791265880057</v>
      </c>
      <c r="P4">
        <v>90.363791265880039</v>
      </c>
      <c r="Q4">
        <v>2</v>
      </c>
      <c r="R4">
        <v>30</v>
      </c>
      <c r="S4" t="s">
        <v>14</v>
      </c>
      <c r="T4">
        <v>0.4581614</v>
      </c>
      <c r="U4">
        <v>50.199999999999989</v>
      </c>
      <c r="V4">
        <v>13</v>
      </c>
      <c r="W4">
        <v>0.16965650643722802</v>
      </c>
      <c r="X4">
        <v>80.165650643722785</v>
      </c>
    </row>
    <row r="5" spans="1:24" x14ac:dyDescent="0.2">
      <c r="A5">
        <v>2</v>
      </c>
      <c r="B5">
        <v>30</v>
      </c>
      <c r="C5" t="s">
        <v>5</v>
      </c>
      <c r="D5">
        <v>0.39148460000000002</v>
      </c>
      <c r="E5">
        <v>53.599999999999987</v>
      </c>
      <c r="F5">
        <v>27</v>
      </c>
      <c r="G5">
        <v>0.17360739953810886</v>
      </c>
      <c r="H5">
        <v>97.960739953810872</v>
      </c>
      <c r="I5">
        <v>2</v>
      </c>
      <c r="J5">
        <v>30</v>
      </c>
      <c r="K5" t="s">
        <v>12</v>
      </c>
      <c r="L5">
        <v>0.66123509999999996</v>
      </c>
      <c r="M5">
        <v>55.399999999999984</v>
      </c>
      <c r="N5">
        <v>17</v>
      </c>
      <c r="O5">
        <v>0.16963791265880057</v>
      </c>
      <c r="P5">
        <v>89.363791265880039</v>
      </c>
      <c r="Q5">
        <v>2</v>
      </c>
      <c r="R5">
        <v>30</v>
      </c>
      <c r="S5" t="s">
        <v>14</v>
      </c>
      <c r="T5">
        <v>0.46535700000000002</v>
      </c>
      <c r="U5">
        <v>50.199999999999989</v>
      </c>
      <c r="V5">
        <v>12</v>
      </c>
      <c r="W5">
        <v>0.16965650643722802</v>
      </c>
      <c r="X5">
        <v>79.165650643722785</v>
      </c>
    </row>
    <row r="6" spans="1:24" x14ac:dyDescent="0.2">
      <c r="A6">
        <v>2</v>
      </c>
      <c r="B6">
        <v>30</v>
      </c>
      <c r="C6" t="s">
        <v>5</v>
      </c>
      <c r="D6">
        <v>0.38920709999999997</v>
      </c>
      <c r="E6">
        <v>51.799999999999983</v>
      </c>
      <c r="F6">
        <v>29</v>
      </c>
      <c r="G6">
        <v>0.16965650643722802</v>
      </c>
      <c r="H6">
        <v>97.765650643722779</v>
      </c>
      <c r="I6">
        <v>2</v>
      </c>
      <c r="J6">
        <v>30</v>
      </c>
      <c r="K6" t="s">
        <v>12</v>
      </c>
      <c r="L6">
        <v>0.69723760000000001</v>
      </c>
      <c r="M6">
        <v>55.399999999999991</v>
      </c>
      <c r="N6">
        <v>18</v>
      </c>
      <c r="O6">
        <v>0.16963791265880057</v>
      </c>
      <c r="P6">
        <v>90.363791265880053</v>
      </c>
      <c r="Q6">
        <v>2</v>
      </c>
      <c r="R6">
        <v>30</v>
      </c>
      <c r="S6" t="s">
        <v>14</v>
      </c>
      <c r="T6">
        <v>0.44107190000000002</v>
      </c>
      <c r="U6">
        <v>50.999999999999986</v>
      </c>
      <c r="V6">
        <v>15</v>
      </c>
      <c r="W6">
        <v>0.16965650643722802</v>
      </c>
      <c r="X6">
        <v>82.965650643722796</v>
      </c>
    </row>
    <row r="7" spans="1:24" x14ac:dyDescent="0.2">
      <c r="A7">
        <v>2</v>
      </c>
      <c r="B7">
        <v>30</v>
      </c>
      <c r="C7" t="s">
        <v>5</v>
      </c>
      <c r="D7">
        <v>0.38492290000000001</v>
      </c>
      <c r="E7">
        <v>52.399999999999984</v>
      </c>
      <c r="F7">
        <v>25</v>
      </c>
      <c r="G7">
        <v>0.17458113632261174</v>
      </c>
      <c r="H7">
        <v>94.858113632261166</v>
      </c>
      <c r="I7">
        <v>2</v>
      </c>
      <c r="J7">
        <v>30</v>
      </c>
      <c r="K7" t="s">
        <v>12</v>
      </c>
      <c r="L7">
        <v>0.65119309999999997</v>
      </c>
      <c r="M7">
        <v>54.799999999999983</v>
      </c>
      <c r="N7">
        <v>19</v>
      </c>
      <c r="O7">
        <v>0.17053833060089665</v>
      </c>
      <c r="P7">
        <v>90.853833060089642</v>
      </c>
      <c r="Q7">
        <v>2</v>
      </c>
      <c r="R7">
        <v>30</v>
      </c>
      <c r="S7" t="s">
        <v>14</v>
      </c>
      <c r="T7">
        <v>0.42664600000000003</v>
      </c>
      <c r="U7">
        <v>50.999999999999986</v>
      </c>
      <c r="V7">
        <v>14</v>
      </c>
      <c r="W7">
        <v>0.16965650643722802</v>
      </c>
      <c r="X7">
        <v>81.965650643722796</v>
      </c>
    </row>
    <row r="8" spans="1:24" x14ac:dyDescent="0.2">
      <c r="A8">
        <v>2</v>
      </c>
      <c r="B8">
        <v>30</v>
      </c>
      <c r="C8" t="s">
        <v>5</v>
      </c>
      <c r="D8">
        <v>0.38306509999999999</v>
      </c>
      <c r="E8">
        <v>54.199999999999989</v>
      </c>
      <c r="F8">
        <v>25</v>
      </c>
      <c r="G8">
        <v>0.17185368367366327</v>
      </c>
      <c r="H8">
        <v>96.385368367366311</v>
      </c>
      <c r="I8">
        <v>2</v>
      </c>
      <c r="J8">
        <v>30</v>
      </c>
      <c r="K8" t="s">
        <v>12</v>
      </c>
      <c r="L8">
        <v>0.64547339999999997</v>
      </c>
      <c r="M8">
        <v>54.799999999999983</v>
      </c>
      <c r="N8">
        <v>17</v>
      </c>
      <c r="O8">
        <v>0.17053833060089665</v>
      </c>
      <c r="P8">
        <v>88.853833060089642</v>
      </c>
      <c r="Q8">
        <v>2</v>
      </c>
      <c r="R8">
        <v>30</v>
      </c>
      <c r="S8" t="s">
        <v>14</v>
      </c>
      <c r="T8">
        <v>0.43505969999999999</v>
      </c>
      <c r="U8">
        <v>51.399999999999991</v>
      </c>
      <c r="V8">
        <v>12</v>
      </c>
      <c r="W8">
        <v>0.17510348858216454</v>
      </c>
      <c r="X8">
        <v>80.910348858216452</v>
      </c>
    </row>
    <row r="9" spans="1:24" x14ac:dyDescent="0.2">
      <c r="A9">
        <v>2</v>
      </c>
      <c r="B9">
        <v>30</v>
      </c>
      <c r="C9" t="s">
        <v>5</v>
      </c>
      <c r="D9">
        <v>0.38339699999999999</v>
      </c>
      <c r="E9">
        <v>53.599999999999987</v>
      </c>
      <c r="F9">
        <v>28</v>
      </c>
      <c r="G9">
        <v>0.17360739953810886</v>
      </c>
      <c r="H9">
        <v>98.960739953810872</v>
      </c>
      <c r="I9">
        <v>2</v>
      </c>
      <c r="J9">
        <v>30</v>
      </c>
      <c r="K9" t="s">
        <v>12</v>
      </c>
      <c r="L9">
        <v>0.63955510000000004</v>
      </c>
      <c r="M9">
        <v>55.599999999999987</v>
      </c>
      <c r="N9">
        <v>20</v>
      </c>
      <c r="O9">
        <v>0.17053833060089665</v>
      </c>
      <c r="P9">
        <v>92.653833060089653</v>
      </c>
      <c r="Q9">
        <v>2</v>
      </c>
      <c r="R9">
        <v>30</v>
      </c>
      <c r="S9" t="s">
        <v>14</v>
      </c>
      <c r="T9">
        <v>0.45110070000000002</v>
      </c>
      <c r="U9">
        <v>53.399999999999991</v>
      </c>
      <c r="V9">
        <v>14</v>
      </c>
      <c r="W9">
        <v>0.17185368367366327</v>
      </c>
      <c r="X9">
        <v>84.585368367366314</v>
      </c>
    </row>
    <row r="10" spans="1:24" x14ac:dyDescent="0.2">
      <c r="A10">
        <v>2</v>
      </c>
      <c r="B10">
        <v>30</v>
      </c>
      <c r="C10" t="s">
        <v>5</v>
      </c>
      <c r="D10">
        <v>0.37151780000000001</v>
      </c>
      <c r="E10">
        <v>58.199999999999989</v>
      </c>
      <c r="F10">
        <v>24</v>
      </c>
      <c r="G10">
        <v>0.16782264622097726</v>
      </c>
      <c r="H10">
        <v>98.982264622097716</v>
      </c>
      <c r="I10">
        <v>2</v>
      </c>
      <c r="J10">
        <v>30</v>
      </c>
      <c r="K10" t="s">
        <v>12</v>
      </c>
      <c r="L10">
        <v>0.66222729999999996</v>
      </c>
      <c r="M10">
        <v>54.799999999999983</v>
      </c>
      <c r="N10">
        <v>20</v>
      </c>
      <c r="O10">
        <v>0.17053833060089665</v>
      </c>
      <c r="P10">
        <v>91.853833060089642</v>
      </c>
      <c r="Q10">
        <v>2</v>
      </c>
      <c r="R10">
        <v>30</v>
      </c>
      <c r="S10" t="s">
        <v>14</v>
      </c>
      <c r="T10">
        <v>0.42591269999999998</v>
      </c>
      <c r="U10">
        <v>50.79999999999999</v>
      </c>
      <c r="V10">
        <v>14</v>
      </c>
      <c r="W10">
        <v>0.17458113632261174</v>
      </c>
      <c r="X10">
        <v>82.258113632261171</v>
      </c>
    </row>
    <row r="11" spans="1:24" x14ac:dyDescent="0.2">
      <c r="A11">
        <v>2</v>
      </c>
      <c r="B11">
        <v>30</v>
      </c>
      <c r="C11" t="s">
        <v>5</v>
      </c>
      <c r="D11">
        <v>0.3757991</v>
      </c>
      <c r="E11">
        <v>55.399999999999991</v>
      </c>
      <c r="F11">
        <v>28</v>
      </c>
      <c r="G11">
        <v>0.16963791265880057</v>
      </c>
      <c r="H11">
        <v>100.36379126588005</v>
      </c>
      <c r="I11">
        <v>2</v>
      </c>
      <c r="J11">
        <v>30</v>
      </c>
      <c r="K11" t="s">
        <v>12</v>
      </c>
      <c r="L11">
        <v>0.66931359999999995</v>
      </c>
      <c r="M11">
        <v>53.999999999999993</v>
      </c>
      <c r="N11">
        <v>20</v>
      </c>
      <c r="O11">
        <v>0.17053833060089665</v>
      </c>
      <c r="P11">
        <v>91.053833060089659</v>
      </c>
      <c r="Q11">
        <v>2</v>
      </c>
      <c r="R11">
        <v>30</v>
      </c>
      <c r="S11" t="s">
        <v>14</v>
      </c>
      <c r="T11">
        <v>0.421904</v>
      </c>
      <c r="U11">
        <v>52.199999999999989</v>
      </c>
      <c r="V11">
        <v>15</v>
      </c>
      <c r="W11">
        <v>0.17510348858216454</v>
      </c>
      <c r="X11">
        <v>84.710348858216435</v>
      </c>
    </row>
    <row r="12" spans="1:24" x14ac:dyDescent="0.2">
      <c r="A12">
        <v>2</v>
      </c>
      <c r="B12">
        <v>30</v>
      </c>
      <c r="C12" t="s">
        <v>5</v>
      </c>
      <c r="D12">
        <v>0.3760618</v>
      </c>
      <c r="E12">
        <v>53.599999999999994</v>
      </c>
      <c r="F12">
        <v>25</v>
      </c>
      <c r="G12">
        <v>0.17360739953810886</v>
      </c>
      <c r="H12">
        <v>95.960739953810872</v>
      </c>
      <c r="I12">
        <v>2</v>
      </c>
      <c r="J12">
        <v>30</v>
      </c>
      <c r="K12" t="s">
        <v>12</v>
      </c>
      <c r="L12">
        <v>0.66405820000000004</v>
      </c>
      <c r="M12">
        <v>55.399999999999984</v>
      </c>
      <c r="N12">
        <v>16</v>
      </c>
      <c r="O12">
        <v>0.16963791265880057</v>
      </c>
      <c r="P12">
        <v>88.363791265880039</v>
      </c>
      <c r="Q12">
        <v>2</v>
      </c>
      <c r="R12">
        <v>30</v>
      </c>
      <c r="S12" t="s">
        <v>14</v>
      </c>
      <c r="T12">
        <v>0.44570739999999998</v>
      </c>
      <c r="U12">
        <v>51.999999999999993</v>
      </c>
      <c r="V12">
        <v>14</v>
      </c>
      <c r="W12">
        <v>0.17360739953810886</v>
      </c>
      <c r="X12">
        <v>83.360739953810878</v>
      </c>
    </row>
    <row r="13" spans="1:24" x14ac:dyDescent="0.2">
      <c r="A13">
        <v>2</v>
      </c>
      <c r="B13">
        <v>30</v>
      </c>
      <c r="C13" t="s">
        <v>5</v>
      </c>
      <c r="D13">
        <v>0.36827520000000002</v>
      </c>
      <c r="E13">
        <v>56.79999999999999</v>
      </c>
      <c r="F13">
        <v>22</v>
      </c>
      <c r="G13">
        <v>0.16874398457147607</v>
      </c>
      <c r="H13">
        <v>95.674398457147589</v>
      </c>
      <c r="I13">
        <v>2</v>
      </c>
      <c r="J13">
        <v>30</v>
      </c>
      <c r="K13" t="s">
        <v>12</v>
      </c>
      <c r="L13">
        <v>0.65020849999999997</v>
      </c>
      <c r="M13">
        <v>55.999999999999986</v>
      </c>
      <c r="N13">
        <v>18</v>
      </c>
      <c r="O13">
        <v>0.16874398457147607</v>
      </c>
      <c r="P13">
        <v>90.874398457147592</v>
      </c>
      <c r="Q13">
        <v>2</v>
      </c>
      <c r="R13">
        <v>30</v>
      </c>
      <c r="S13" t="s">
        <v>14</v>
      </c>
      <c r="T13">
        <v>0.422655</v>
      </c>
      <c r="U13">
        <v>51.999999999999993</v>
      </c>
      <c r="V13">
        <v>11</v>
      </c>
      <c r="W13">
        <v>0.17360739953810886</v>
      </c>
      <c r="X13">
        <v>80.360739953810878</v>
      </c>
    </row>
    <row r="14" spans="1:24" x14ac:dyDescent="0.2">
      <c r="A14">
        <v>2</v>
      </c>
      <c r="B14">
        <v>30</v>
      </c>
      <c r="C14" t="s">
        <v>5</v>
      </c>
      <c r="D14">
        <v>0.37483919999999998</v>
      </c>
      <c r="E14">
        <v>54.999999999999986</v>
      </c>
      <c r="F14">
        <v>25</v>
      </c>
      <c r="G14">
        <v>0.17185368367366327</v>
      </c>
      <c r="H14">
        <v>97.185368367366308</v>
      </c>
      <c r="I14">
        <v>2</v>
      </c>
      <c r="J14">
        <v>30</v>
      </c>
      <c r="K14" t="s">
        <v>12</v>
      </c>
      <c r="L14">
        <v>0.67182129999999995</v>
      </c>
      <c r="M14">
        <v>54.799999999999983</v>
      </c>
      <c r="N14">
        <v>16</v>
      </c>
      <c r="O14">
        <v>0.17053833060089665</v>
      </c>
      <c r="P14">
        <v>87.853833060089642</v>
      </c>
      <c r="Q14">
        <v>2</v>
      </c>
      <c r="R14">
        <v>30</v>
      </c>
      <c r="S14" t="s">
        <v>14</v>
      </c>
      <c r="T14">
        <v>0.43463439999999998</v>
      </c>
      <c r="U14">
        <v>52.199999999999989</v>
      </c>
      <c r="V14">
        <v>13</v>
      </c>
      <c r="W14">
        <v>0.17510348858216454</v>
      </c>
      <c r="X14">
        <v>82.710348858216435</v>
      </c>
    </row>
    <row r="15" spans="1:24" x14ac:dyDescent="0.2">
      <c r="A15">
        <v>2</v>
      </c>
      <c r="B15">
        <v>30</v>
      </c>
      <c r="C15" t="s">
        <v>5</v>
      </c>
      <c r="D15">
        <v>0.38283030000000001</v>
      </c>
      <c r="E15">
        <v>52.199999999999989</v>
      </c>
      <c r="F15">
        <v>27</v>
      </c>
      <c r="G15">
        <v>0.17510348858216454</v>
      </c>
      <c r="H15">
        <v>96.710348858216435</v>
      </c>
      <c r="I15">
        <v>2</v>
      </c>
      <c r="J15">
        <v>30</v>
      </c>
      <c r="K15" t="s">
        <v>12</v>
      </c>
      <c r="L15">
        <v>0.65884350000000003</v>
      </c>
      <c r="M15">
        <v>55.399999999999984</v>
      </c>
      <c r="N15">
        <v>17</v>
      </c>
      <c r="O15">
        <v>0.16963791265880057</v>
      </c>
      <c r="P15">
        <v>89.363791265880039</v>
      </c>
      <c r="Q15">
        <v>2</v>
      </c>
      <c r="R15">
        <v>30</v>
      </c>
      <c r="S15" t="s">
        <v>14</v>
      </c>
      <c r="T15">
        <v>0.42087649999999999</v>
      </c>
      <c r="U15">
        <v>50.999999999999986</v>
      </c>
      <c r="V15">
        <v>15</v>
      </c>
      <c r="W15">
        <v>0.16965650643722802</v>
      </c>
      <c r="X15">
        <v>82.965650643722796</v>
      </c>
    </row>
    <row r="16" spans="1:24" x14ac:dyDescent="0.2">
      <c r="A16">
        <v>2</v>
      </c>
      <c r="B16">
        <v>30</v>
      </c>
      <c r="C16" t="s">
        <v>5</v>
      </c>
      <c r="D16">
        <v>0.37371179999999998</v>
      </c>
      <c r="E16">
        <v>54.799999999999983</v>
      </c>
      <c r="F16">
        <v>27</v>
      </c>
      <c r="G16">
        <v>0.17053833060089665</v>
      </c>
      <c r="H16">
        <v>98.853833060089642</v>
      </c>
      <c r="I16">
        <v>2</v>
      </c>
      <c r="J16">
        <v>30</v>
      </c>
      <c r="K16" t="s">
        <v>12</v>
      </c>
      <c r="L16">
        <v>0.64569799999999999</v>
      </c>
      <c r="M16">
        <v>55.399999999999984</v>
      </c>
      <c r="N16">
        <v>17</v>
      </c>
      <c r="O16">
        <v>0.16963791265880057</v>
      </c>
      <c r="P16">
        <v>89.363791265880039</v>
      </c>
      <c r="Q16">
        <v>2</v>
      </c>
      <c r="R16">
        <v>30</v>
      </c>
      <c r="S16" t="s">
        <v>14</v>
      </c>
      <c r="T16">
        <v>0.4075107</v>
      </c>
      <c r="U16">
        <v>52.199999999999989</v>
      </c>
      <c r="V16">
        <v>14</v>
      </c>
      <c r="W16">
        <v>0.17510348858216454</v>
      </c>
      <c r="X16">
        <v>83.710348858216435</v>
      </c>
    </row>
    <row r="17" spans="1:24" x14ac:dyDescent="0.2">
      <c r="A17">
        <v>2</v>
      </c>
      <c r="B17">
        <v>30</v>
      </c>
      <c r="C17" t="s">
        <v>5</v>
      </c>
      <c r="D17">
        <v>0.37312230000000002</v>
      </c>
      <c r="E17">
        <v>54.79999999999999</v>
      </c>
      <c r="F17">
        <v>29</v>
      </c>
      <c r="G17">
        <v>0.17053833060089665</v>
      </c>
      <c r="H17">
        <v>100.85383306008966</v>
      </c>
      <c r="I17">
        <v>2</v>
      </c>
      <c r="J17">
        <v>30</v>
      </c>
      <c r="K17" t="s">
        <v>12</v>
      </c>
      <c r="L17">
        <v>0.67263200000000001</v>
      </c>
      <c r="M17">
        <v>55.399999999999984</v>
      </c>
      <c r="N17">
        <v>16</v>
      </c>
      <c r="O17">
        <v>0.16963791265880057</v>
      </c>
      <c r="P17">
        <v>88.363791265880039</v>
      </c>
      <c r="Q17">
        <v>2</v>
      </c>
      <c r="R17">
        <v>30</v>
      </c>
      <c r="S17" t="s">
        <v>14</v>
      </c>
      <c r="T17">
        <v>0.40239659999999999</v>
      </c>
      <c r="U17">
        <v>50.199999999999989</v>
      </c>
      <c r="V17">
        <v>13</v>
      </c>
      <c r="W17">
        <v>0.16965650643722802</v>
      </c>
      <c r="X17">
        <v>80.165650643722785</v>
      </c>
    </row>
    <row r="18" spans="1:24" x14ac:dyDescent="0.2">
      <c r="A18">
        <v>2</v>
      </c>
      <c r="B18">
        <v>30</v>
      </c>
      <c r="C18" t="s">
        <v>5</v>
      </c>
      <c r="D18">
        <v>0.38385089999999999</v>
      </c>
      <c r="E18">
        <v>52.999999999999993</v>
      </c>
      <c r="F18">
        <v>27</v>
      </c>
      <c r="G18">
        <v>0.17510348858216454</v>
      </c>
      <c r="H18">
        <v>97.510348858216446</v>
      </c>
      <c r="I18">
        <v>2</v>
      </c>
      <c r="J18">
        <v>30</v>
      </c>
      <c r="K18" t="s">
        <v>12</v>
      </c>
      <c r="L18">
        <v>0.66674610000000001</v>
      </c>
      <c r="M18">
        <v>55.999999999999986</v>
      </c>
      <c r="N18">
        <v>18</v>
      </c>
      <c r="O18">
        <v>0.16874398457147607</v>
      </c>
      <c r="P18">
        <v>90.874398457147592</v>
      </c>
      <c r="Q18">
        <v>2</v>
      </c>
      <c r="R18">
        <v>30</v>
      </c>
      <c r="S18" t="s">
        <v>14</v>
      </c>
      <c r="T18">
        <v>0.443523</v>
      </c>
      <c r="U18">
        <v>50.999999999999986</v>
      </c>
      <c r="V18">
        <v>13</v>
      </c>
      <c r="W18">
        <v>0.16965650643722802</v>
      </c>
      <c r="X18">
        <v>80.965650643722796</v>
      </c>
    </row>
    <row r="19" spans="1:24" x14ac:dyDescent="0.2">
      <c r="A19">
        <v>2</v>
      </c>
      <c r="B19">
        <v>30</v>
      </c>
      <c r="C19" t="s">
        <v>5</v>
      </c>
      <c r="D19">
        <v>0.37267149999999999</v>
      </c>
      <c r="E19">
        <v>54.399999999999984</v>
      </c>
      <c r="F19">
        <v>30</v>
      </c>
      <c r="G19">
        <v>0.17360739953810886</v>
      </c>
      <c r="H19">
        <v>101.76073995381087</v>
      </c>
      <c r="I19">
        <v>2</v>
      </c>
      <c r="J19">
        <v>30</v>
      </c>
      <c r="K19" t="s">
        <v>12</v>
      </c>
      <c r="L19">
        <v>0.66096060000000001</v>
      </c>
      <c r="M19">
        <v>55.399999999999984</v>
      </c>
      <c r="N19">
        <v>17</v>
      </c>
      <c r="O19">
        <v>0.16963791265880057</v>
      </c>
      <c r="P19">
        <v>89.363791265880039</v>
      </c>
      <c r="Q19">
        <v>2</v>
      </c>
      <c r="R19">
        <v>30</v>
      </c>
      <c r="S19" t="s">
        <v>14</v>
      </c>
      <c r="T19">
        <v>0.43399929999999998</v>
      </c>
      <c r="U19">
        <v>52.599999999999987</v>
      </c>
      <c r="V19">
        <v>11</v>
      </c>
      <c r="W19">
        <v>0.17185368367366327</v>
      </c>
      <c r="X19">
        <v>80.785368367366317</v>
      </c>
    </row>
    <row r="20" spans="1:24" x14ac:dyDescent="0.2">
      <c r="A20">
        <v>2</v>
      </c>
      <c r="B20">
        <v>30</v>
      </c>
      <c r="C20" t="s">
        <v>5</v>
      </c>
      <c r="D20">
        <v>0.38758749999999997</v>
      </c>
      <c r="E20">
        <v>53.599999999999987</v>
      </c>
      <c r="F20">
        <v>28</v>
      </c>
      <c r="G20">
        <v>0.17360739953810886</v>
      </c>
      <c r="H20">
        <v>98.960739953810872</v>
      </c>
      <c r="I20">
        <v>2</v>
      </c>
      <c r="J20">
        <v>30</v>
      </c>
      <c r="K20" t="s">
        <v>12</v>
      </c>
      <c r="L20">
        <v>0.65245719999999996</v>
      </c>
      <c r="M20">
        <v>55.399999999999984</v>
      </c>
      <c r="N20">
        <v>19</v>
      </c>
      <c r="O20">
        <v>0.16963791265880057</v>
      </c>
      <c r="P20">
        <v>91.363791265880039</v>
      </c>
      <c r="Q20">
        <v>2</v>
      </c>
      <c r="R20">
        <v>30</v>
      </c>
      <c r="S20" t="s">
        <v>14</v>
      </c>
      <c r="T20">
        <v>0.43897510000000001</v>
      </c>
      <c r="U20">
        <v>51.999999999999993</v>
      </c>
      <c r="V20">
        <v>13</v>
      </c>
      <c r="W20">
        <v>0.17360739953810886</v>
      </c>
      <c r="X20">
        <v>82.360739953810878</v>
      </c>
    </row>
    <row r="21" spans="1:24" x14ac:dyDescent="0.2">
      <c r="A21">
        <v>2</v>
      </c>
      <c r="B21">
        <v>30</v>
      </c>
      <c r="C21" t="s">
        <v>5</v>
      </c>
      <c r="D21">
        <v>0.386934</v>
      </c>
      <c r="E21">
        <v>56.199999999999989</v>
      </c>
      <c r="F21">
        <v>29</v>
      </c>
      <c r="G21">
        <v>0.16963791265880057</v>
      </c>
      <c r="H21">
        <v>102.16379126588005</v>
      </c>
      <c r="I21">
        <v>2</v>
      </c>
      <c r="J21">
        <v>30</v>
      </c>
      <c r="K21" t="s">
        <v>12</v>
      </c>
      <c r="L21">
        <v>0.67223699999999997</v>
      </c>
      <c r="M21">
        <v>54.799999999999983</v>
      </c>
      <c r="N21">
        <v>18</v>
      </c>
      <c r="O21">
        <v>0.17053833060089665</v>
      </c>
      <c r="P21">
        <v>89.853833060089642</v>
      </c>
      <c r="Q21">
        <v>2</v>
      </c>
      <c r="R21">
        <v>30</v>
      </c>
      <c r="S21" t="s">
        <v>14</v>
      </c>
      <c r="T21">
        <v>0.44845429999999997</v>
      </c>
      <c r="U21">
        <v>50.199999999999989</v>
      </c>
      <c r="V21">
        <v>14</v>
      </c>
      <c r="W21">
        <v>0.16965650643722802</v>
      </c>
      <c r="X21">
        <v>81.165650643722785</v>
      </c>
    </row>
    <row r="22" spans="1:24" x14ac:dyDescent="0.2">
      <c r="A22">
        <v>2</v>
      </c>
      <c r="B22">
        <v>30</v>
      </c>
      <c r="C22" t="s">
        <v>5</v>
      </c>
      <c r="D22">
        <v>0.38959690000000002</v>
      </c>
      <c r="E22">
        <v>56.199999999999989</v>
      </c>
      <c r="F22">
        <v>26</v>
      </c>
      <c r="G22">
        <v>0.16963791265880057</v>
      </c>
      <c r="H22">
        <v>99.16379126588005</v>
      </c>
      <c r="I22">
        <v>2</v>
      </c>
      <c r="J22">
        <v>30</v>
      </c>
      <c r="K22" t="s">
        <v>12</v>
      </c>
      <c r="L22">
        <v>0.65288239999999997</v>
      </c>
      <c r="M22">
        <v>55.999999999999986</v>
      </c>
      <c r="N22">
        <v>16</v>
      </c>
      <c r="O22">
        <v>0.16874398457147607</v>
      </c>
      <c r="P22">
        <v>88.874398457147592</v>
      </c>
      <c r="Q22">
        <v>2</v>
      </c>
      <c r="R22">
        <v>30</v>
      </c>
      <c r="S22" t="s">
        <v>14</v>
      </c>
      <c r="T22">
        <v>0.44471090000000002</v>
      </c>
      <c r="U22">
        <v>52.199999999999989</v>
      </c>
      <c r="V22">
        <v>14</v>
      </c>
      <c r="W22">
        <v>0.17510348858216454</v>
      </c>
      <c r="X22">
        <v>83.710348858216435</v>
      </c>
    </row>
    <row r="23" spans="1:24" x14ac:dyDescent="0.2">
      <c r="A23">
        <v>2</v>
      </c>
      <c r="B23">
        <v>30</v>
      </c>
      <c r="C23" t="s">
        <v>5</v>
      </c>
      <c r="D23">
        <v>0.40075450000000001</v>
      </c>
      <c r="E23">
        <v>57.599999999999987</v>
      </c>
      <c r="F23">
        <v>28</v>
      </c>
      <c r="G23">
        <v>0.16874398457147607</v>
      </c>
      <c r="H23">
        <v>102.4743984571476</v>
      </c>
      <c r="I23">
        <v>2</v>
      </c>
      <c r="J23">
        <v>30</v>
      </c>
      <c r="K23" t="s">
        <v>12</v>
      </c>
      <c r="L23">
        <v>0.66745370000000004</v>
      </c>
      <c r="M23">
        <v>55.399999999999984</v>
      </c>
      <c r="N23">
        <v>18</v>
      </c>
      <c r="O23">
        <v>0.16963791265880057</v>
      </c>
      <c r="P23">
        <v>90.363791265880039</v>
      </c>
      <c r="Q23">
        <v>2</v>
      </c>
      <c r="R23">
        <v>30</v>
      </c>
      <c r="S23" t="s">
        <v>14</v>
      </c>
      <c r="T23">
        <v>0.42707240000000002</v>
      </c>
      <c r="U23">
        <v>51.399999999999991</v>
      </c>
      <c r="V23">
        <v>12</v>
      </c>
      <c r="W23">
        <v>0.17510348858216454</v>
      </c>
      <c r="X23">
        <v>80.910348858216452</v>
      </c>
    </row>
    <row r="24" spans="1:24" x14ac:dyDescent="0.2">
      <c r="A24">
        <v>2</v>
      </c>
      <c r="B24">
        <v>30</v>
      </c>
      <c r="C24" t="s">
        <v>5</v>
      </c>
      <c r="D24">
        <v>0.39220579999999999</v>
      </c>
      <c r="E24">
        <v>57.399999999999991</v>
      </c>
      <c r="F24">
        <v>27</v>
      </c>
      <c r="G24">
        <v>0.16782264622097726</v>
      </c>
      <c r="H24">
        <v>101.18226462209772</v>
      </c>
      <c r="I24">
        <v>2</v>
      </c>
      <c r="J24">
        <v>30</v>
      </c>
      <c r="K24" t="s">
        <v>12</v>
      </c>
      <c r="L24">
        <v>0.68379480000000004</v>
      </c>
      <c r="M24">
        <v>55.399999999999991</v>
      </c>
      <c r="N24">
        <v>18</v>
      </c>
      <c r="O24">
        <v>0.16963791265880057</v>
      </c>
      <c r="P24">
        <v>90.363791265880053</v>
      </c>
      <c r="Q24">
        <v>2</v>
      </c>
      <c r="R24">
        <v>30</v>
      </c>
      <c r="S24" t="s">
        <v>14</v>
      </c>
      <c r="T24">
        <v>0.4357878</v>
      </c>
      <c r="U24">
        <v>53.199999999999989</v>
      </c>
      <c r="V24">
        <v>11</v>
      </c>
      <c r="W24">
        <v>0.17053833060089665</v>
      </c>
      <c r="X24">
        <v>81.253833060089647</v>
      </c>
    </row>
    <row r="25" spans="1:24" x14ac:dyDescent="0.2">
      <c r="A25">
        <v>2</v>
      </c>
      <c r="B25">
        <v>30</v>
      </c>
      <c r="C25" t="s">
        <v>5</v>
      </c>
      <c r="D25">
        <v>0.38450830000000003</v>
      </c>
      <c r="E25">
        <v>59.399999999999991</v>
      </c>
      <c r="F25">
        <v>25</v>
      </c>
      <c r="G25">
        <v>0.16607578023887712</v>
      </c>
      <c r="H25">
        <v>101.0075780238877</v>
      </c>
      <c r="I25">
        <v>2</v>
      </c>
      <c r="J25">
        <v>30</v>
      </c>
      <c r="K25" t="s">
        <v>12</v>
      </c>
      <c r="L25">
        <v>0.68623650000000003</v>
      </c>
      <c r="M25">
        <v>56.199999999999982</v>
      </c>
      <c r="N25">
        <v>18</v>
      </c>
      <c r="O25">
        <v>0.16963791265880057</v>
      </c>
      <c r="P25">
        <v>91.163791265880036</v>
      </c>
      <c r="Q25">
        <v>2</v>
      </c>
      <c r="R25">
        <v>30</v>
      </c>
      <c r="S25" t="s">
        <v>14</v>
      </c>
      <c r="T25">
        <v>0.43262270000000003</v>
      </c>
      <c r="U25">
        <v>50.199999999999989</v>
      </c>
      <c r="V25">
        <v>13</v>
      </c>
      <c r="W25">
        <v>0.16965650643722802</v>
      </c>
      <c r="X25">
        <v>80.165650643722785</v>
      </c>
    </row>
    <row r="26" spans="1:24" x14ac:dyDescent="0.2">
      <c r="A26">
        <v>2</v>
      </c>
      <c r="B26">
        <v>30</v>
      </c>
      <c r="C26" t="s">
        <v>5</v>
      </c>
      <c r="D26">
        <v>0.37479509999999999</v>
      </c>
      <c r="E26">
        <v>55.79999999999999</v>
      </c>
      <c r="F26">
        <v>24</v>
      </c>
      <c r="G26">
        <v>0.17185368367366327</v>
      </c>
      <c r="H26">
        <v>96.98536836736632</v>
      </c>
      <c r="I26">
        <v>2</v>
      </c>
      <c r="J26">
        <v>30</v>
      </c>
      <c r="K26" t="s">
        <v>12</v>
      </c>
      <c r="L26">
        <v>0.65711470000000005</v>
      </c>
      <c r="M26">
        <v>54.799999999999983</v>
      </c>
      <c r="N26">
        <v>18</v>
      </c>
      <c r="O26">
        <v>0.17053833060089665</v>
      </c>
      <c r="P26">
        <v>89.853833060089642</v>
      </c>
      <c r="Q26">
        <v>2</v>
      </c>
      <c r="R26">
        <v>30</v>
      </c>
      <c r="S26" t="s">
        <v>14</v>
      </c>
      <c r="T26">
        <v>0.4232342</v>
      </c>
      <c r="U26">
        <v>53.79999999999999</v>
      </c>
      <c r="V26">
        <v>9</v>
      </c>
      <c r="W26">
        <v>0.16963791265880057</v>
      </c>
      <c r="X26">
        <v>79.763791265880045</v>
      </c>
    </row>
    <row r="27" spans="1:24" x14ac:dyDescent="0.2">
      <c r="A27">
        <v>2</v>
      </c>
      <c r="B27">
        <v>30</v>
      </c>
      <c r="C27" t="s">
        <v>5</v>
      </c>
      <c r="D27">
        <v>0.37838850000000002</v>
      </c>
      <c r="E27">
        <v>53.599999999999987</v>
      </c>
      <c r="F27">
        <v>28</v>
      </c>
      <c r="G27">
        <v>0.17360739953810886</v>
      </c>
      <c r="H27">
        <v>98.960739953810872</v>
      </c>
      <c r="I27">
        <v>2</v>
      </c>
      <c r="J27">
        <v>30</v>
      </c>
      <c r="K27" t="s">
        <v>12</v>
      </c>
      <c r="L27">
        <v>0.68042469999999999</v>
      </c>
      <c r="M27">
        <v>55.399999999999984</v>
      </c>
      <c r="N27">
        <v>18</v>
      </c>
      <c r="O27">
        <v>0.16963791265880057</v>
      </c>
      <c r="P27">
        <v>90.363791265880039</v>
      </c>
      <c r="Q27">
        <v>2</v>
      </c>
      <c r="R27">
        <v>30</v>
      </c>
      <c r="S27" t="s">
        <v>14</v>
      </c>
      <c r="T27">
        <v>0.45681539999999998</v>
      </c>
      <c r="U27">
        <v>52.199999999999989</v>
      </c>
      <c r="V27">
        <v>12</v>
      </c>
      <c r="W27">
        <v>0.17510348858216454</v>
      </c>
      <c r="X27">
        <v>81.710348858216435</v>
      </c>
    </row>
    <row r="28" spans="1:24" x14ac:dyDescent="0.2">
      <c r="A28">
        <v>2</v>
      </c>
      <c r="B28">
        <v>30</v>
      </c>
      <c r="C28" t="s">
        <v>5</v>
      </c>
      <c r="D28">
        <v>0.38718079999999999</v>
      </c>
      <c r="E28">
        <v>54.999999999999986</v>
      </c>
      <c r="F28">
        <v>27</v>
      </c>
      <c r="G28">
        <v>0.17185368367366327</v>
      </c>
      <c r="H28">
        <v>99.185368367366308</v>
      </c>
      <c r="I28">
        <v>2</v>
      </c>
      <c r="J28">
        <v>30</v>
      </c>
      <c r="K28" t="s">
        <v>12</v>
      </c>
      <c r="L28">
        <v>0.64334080000000005</v>
      </c>
      <c r="M28">
        <v>55.599999999999987</v>
      </c>
      <c r="N28">
        <v>18</v>
      </c>
      <c r="O28">
        <v>0.17053833060089665</v>
      </c>
      <c r="P28">
        <v>90.653833060089653</v>
      </c>
      <c r="Q28">
        <v>2</v>
      </c>
      <c r="R28">
        <v>30</v>
      </c>
      <c r="S28" t="s">
        <v>14</v>
      </c>
      <c r="T28">
        <v>0.43459160000000002</v>
      </c>
      <c r="U28">
        <v>51.999999999999993</v>
      </c>
      <c r="V28">
        <v>13</v>
      </c>
      <c r="W28">
        <v>0.17360739953810886</v>
      </c>
      <c r="X28">
        <v>82.360739953810878</v>
      </c>
    </row>
    <row r="29" spans="1:24" x14ac:dyDescent="0.2">
      <c r="A29">
        <v>2</v>
      </c>
      <c r="B29">
        <v>30</v>
      </c>
      <c r="C29" t="s">
        <v>5</v>
      </c>
      <c r="D29">
        <v>0.37231819999999999</v>
      </c>
      <c r="E29">
        <v>57.599999999999987</v>
      </c>
      <c r="F29">
        <v>24</v>
      </c>
      <c r="G29">
        <v>0.16874398457147607</v>
      </c>
      <c r="H29">
        <v>98.474398457147601</v>
      </c>
      <c r="I29">
        <v>2</v>
      </c>
      <c r="J29">
        <v>30</v>
      </c>
      <c r="K29" t="s">
        <v>12</v>
      </c>
      <c r="L29">
        <v>0.66067100000000001</v>
      </c>
      <c r="M29">
        <v>55.399999999999984</v>
      </c>
      <c r="N29">
        <v>18</v>
      </c>
      <c r="O29">
        <v>0.16963791265880057</v>
      </c>
      <c r="P29">
        <v>90.363791265880039</v>
      </c>
      <c r="Q29">
        <v>2</v>
      </c>
      <c r="R29">
        <v>30</v>
      </c>
      <c r="S29" t="s">
        <v>14</v>
      </c>
      <c r="T29">
        <v>0.44885399999999998</v>
      </c>
      <c r="U29">
        <v>51.999999999999993</v>
      </c>
      <c r="V29">
        <v>11</v>
      </c>
      <c r="W29">
        <v>0.17360739953810886</v>
      </c>
      <c r="X29">
        <v>80.360739953810878</v>
      </c>
    </row>
    <row r="30" spans="1:24" x14ac:dyDescent="0.2">
      <c r="A30">
        <v>2</v>
      </c>
      <c r="B30">
        <v>30</v>
      </c>
      <c r="C30" t="s">
        <v>5</v>
      </c>
      <c r="D30">
        <v>0.37593320000000002</v>
      </c>
      <c r="E30">
        <v>56.199999999999989</v>
      </c>
      <c r="F30">
        <v>26</v>
      </c>
      <c r="G30">
        <v>0.16963791265880057</v>
      </c>
      <c r="H30">
        <v>99.16379126588005</v>
      </c>
      <c r="I30">
        <v>2</v>
      </c>
      <c r="J30">
        <v>30</v>
      </c>
      <c r="K30" t="s">
        <v>12</v>
      </c>
      <c r="L30">
        <v>0.67571859999999995</v>
      </c>
      <c r="M30">
        <v>53.399999999999991</v>
      </c>
      <c r="N30">
        <v>22</v>
      </c>
      <c r="O30">
        <v>0.17185368367366327</v>
      </c>
      <c r="P30">
        <v>92.585368367366314</v>
      </c>
      <c r="Q30">
        <v>2</v>
      </c>
      <c r="R30">
        <v>30</v>
      </c>
      <c r="S30" t="s">
        <v>14</v>
      </c>
      <c r="T30">
        <v>0.43651089999999998</v>
      </c>
      <c r="U30">
        <v>50.199999999999989</v>
      </c>
      <c r="V30">
        <v>13</v>
      </c>
      <c r="W30">
        <v>0.16965650643722802</v>
      </c>
      <c r="X30">
        <v>80.165650643722785</v>
      </c>
    </row>
    <row r="31" spans="1:24" x14ac:dyDescent="0.2">
      <c r="A31">
        <v>2</v>
      </c>
      <c r="B31">
        <v>30</v>
      </c>
      <c r="C31" t="s">
        <v>5</v>
      </c>
      <c r="D31">
        <v>0.38339859999999998</v>
      </c>
      <c r="E31">
        <v>53.599999999999987</v>
      </c>
      <c r="F31">
        <v>31</v>
      </c>
      <c r="G31">
        <v>0.17360739953810886</v>
      </c>
      <c r="H31">
        <v>101.96073995381087</v>
      </c>
      <c r="I31">
        <v>2</v>
      </c>
      <c r="J31">
        <v>30</v>
      </c>
      <c r="K31" t="s">
        <v>12</v>
      </c>
      <c r="L31">
        <v>0.6636782</v>
      </c>
      <c r="M31">
        <v>55.999999999999986</v>
      </c>
      <c r="N31">
        <v>18</v>
      </c>
      <c r="O31">
        <v>0.16874398457147607</v>
      </c>
      <c r="P31">
        <v>90.874398457147592</v>
      </c>
      <c r="Q31">
        <v>2</v>
      </c>
      <c r="R31">
        <v>30</v>
      </c>
      <c r="S31" t="s">
        <v>14</v>
      </c>
      <c r="T31">
        <v>0.43980910000000001</v>
      </c>
      <c r="U31">
        <v>51.399999999999991</v>
      </c>
      <c r="V31">
        <v>11</v>
      </c>
      <c r="W31">
        <v>0.17510348858216454</v>
      </c>
      <c r="X31">
        <v>79.910348858216452</v>
      </c>
    </row>
    <row r="33" spans="3:24" x14ac:dyDescent="0.2">
      <c r="C33" t="s">
        <v>222</v>
      </c>
      <c r="D33" t="s">
        <v>224</v>
      </c>
      <c r="E33" t="s">
        <v>224</v>
      </c>
      <c r="F33" t="s">
        <v>224</v>
      </c>
      <c r="G33" t="s">
        <v>224</v>
      </c>
      <c r="H33" t="s">
        <v>224</v>
      </c>
      <c r="K33" t="s">
        <v>231</v>
      </c>
      <c r="L33" t="s">
        <v>224</v>
      </c>
      <c r="M33" t="s">
        <v>224</v>
      </c>
      <c r="N33" t="s">
        <v>224</v>
      </c>
      <c r="O33" t="s">
        <v>224</v>
      </c>
      <c r="P33" t="s">
        <v>224</v>
      </c>
      <c r="S33" t="s">
        <v>232</v>
      </c>
      <c r="T33" t="s">
        <v>224</v>
      </c>
      <c r="U33" t="s">
        <v>224</v>
      </c>
      <c r="V33" t="s">
        <v>224</v>
      </c>
      <c r="W33" t="s">
        <v>224</v>
      </c>
      <c r="X33" t="s">
        <v>224</v>
      </c>
    </row>
    <row r="34" spans="3:24" x14ac:dyDescent="0.2">
      <c r="D34">
        <f>MAX(D1:D31)</f>
        <v>0.40075450000000001</v>
      </c>
      <c r="E34">
        <f>MAX(E1:E31)</f>
        <v>59.399999999999991</v>
      </c>
      <c r="F34">
        <f>MAX(F1:F31)</f>
        <v>31</v>
      </c>
      <c r="G34">
        <f>MAX(G1:G31)</f>
        <v>0.17510348858216454</v>
      </c>
      <c r="H34">
        <f>MAX(H1:H31)</f>
        <v>102.4743984571476</v>
      </c>
      <c r="L34">
        <f>MAX(L1:L31)</f>
        <v>0.69723760000000001</v>
      </c>
      <c r="M34">
        <f>MAX(M1:M31)</f>
        <v>56.199999999999982</v>
      </c>
      <c r="N34">
        <f>MAX(N1:N31)</f>
        <v>22</v>
      </c>
      <c r="O34">
        <f>MAX(O1:O31)</f>
        <v>0.17360739953810886</v>
      </c>
      <c r="P34">
        <f>MAX(P1:P31)</f>
        <v>92.653833060089653</v>
      </c>
      <c r="T34">
        <f>MAX(T1:T31)</f>
        <v>0.46535700000000002</v>
      </c>
      <c r="U34">
        <f>MAX(U1:U31)</f>
        <v>53.79999999999999</v>
      </c>
      <c r="V34">
        <f>MAX(V1:V31)</f>
        <v>15</v>
      </c>
      <c r="W34">
        <f>MAX(W1:W31)</f>
        <v>0.17510348858216454</v>
      </c>
      <c r="X34">
        <f>MAX(X1:X31)</f>
        <v>84.710348858216435</v>
      </c>
    </row>
    <row r="35" spans="3:24" x14ac:dyDescent="0.2">
      <c r="D35" t="s">
        <v>226</v>
      </c>
      <c r="E35" t="s">
        <v>226</v>
      </c>
      <c r="F35" t="s">
        <v>226</v>
      </c>
      <c r="G35" t="s">
        <v>226</v>
      </c>
      <c r="H35" t="s">
        <v>226</v>
      </c>
      <c r="L35" t="s">
        <v>226</v>
      </c>
      <c r="M35" t="s">
        <v>226</v>
      </c>
      <c r="N35" t="s">
        <v>226</v>
      </c>
      <c r="O35" t="s">
        <v>226</v>
      </c>
      <c r="P35" t="s">
        <v>226</v>
      </c>
      <c r="T35" t="s">
        <v>226</v>
      </c>
      <c r="U35" t="s">
        <v>226</v>
      </c>
      <c r="V35" t="s">
        <v>226</v>
      </c>
      <c r="W35" t="s">
        <v>226</v>
      </c>
      <c r="X35" t="s">
        <v>226</v>
      </c>
    </row>
    <row r="36" spans="3:24" x14ac:dyDescent="0.2">
      <c r="D36">
        <f>MIN(D1:D31)</f>
        <v>0.36827520000000002</v>
      </c>
      <c r="E36">
        <f>MIN(E1:E31)</f>
        <v>51.799999999999983</v>
      </c>
      <c r="F36">
        <f>MIN(F1:F31)</f>
        <v>22</v>
      </c>
      <c r="G36">
        <f>MIN(G1:G31)</f>
        <v>0.16607578023887712</v>
      </c>
      <c r="H36">
        <f>MIN(H1:H31)</f>
        <v>94.858113632261166</v>
      </c>
      <c r="L36">
        <f>MIN(L1:L31)</f>
        <v>0.63955510000000004</v>
      </c>
      <c r="M36">
        <f>MIN(M1:M31)</f>
        <v>51.999999999999986</v>
      </c>
      <c r="N36">
        <f>MIN(N1:N31)</f>
        <v>16</v>
      </c>
      <c r="O36">
        <f>MIN(O1:O31)</f>
        <v>0.16874398457147607</v>
      </c>
      <c r="P36">
        <f>MIN(P1:P31)</f>
        <v>87.853833060089642</v>
      </c>
      <c r="T36">
        <f>MIN(T1:T31)</f>
        <v>0.40239659999999999</v>
      </c>
      <c r="U36">
        <f>MIN(U1:U31)</f>
        <v>50.199999999999989</v>
      </c>
      <c r="V36">
        <f>MIN(V1:V31)</f>
        <v>9</v>
      </c>
      <c r="W36">
        <f>MIN(W1:W31)</f>
        <v>0.16963791265880057</v>
      </c>
      <c r="X36">
        <f>MIN(X1:X31)</f>
        <v>79.165650643722785</v>
      </c>
    </row>
    <row r="37" spans="3:24" x14ac:dyDescent="0.2">
      <c r="D37" t="s">
        <v>228</v>
      </c>
      <c r="E37" t="s">
        <v>228</v>
      </c>
      <c r="F37" t="s">
        <v>228</v>
      </c>
      <c r="G37" t="s">
        <v>228</v>
      </c>
      <c r="H37" t="s">
        <v>228</v>
      </c>
      <c r="L37" t="s">
        <v>228</v>
      </c>
      <c r="M37" t="s">
        <v>228</v>
      </c>
      <c r="N37" t="s">
        <v>228</v>
      </c>
      <c r="O37" t="s">
        <v>228</v>
      </c>
      <c r="P37" t="s">
        <v>228</v>
      </c>
      <c r="T37" t="s">
        <v>228</v>
      </c>
      <c r="U37" t="s">
        <v>228</v>
      </c>
      <c r="V37" t="s">
        <v>228</v>
      </c>
      <c r="W37" t="s">
        <v>228</v>
      </c>
      <c r="X37" t="s">
        <v>228</v>
      </c>
    </row>
    <row r="38" spans="3:24" x14ac:dyDescent="0.2">
      <c r="D38">
        <f>AVERAGE(D1:D31)</f>
        <v>0.38237831999999999</v>
      </c>
      <c r="E38">
        <f>AVERAGE(E1:E31)</f>
        <v>54.999999999999993</v>
      </c>
      <c r="F38">
        <f>AVERAGE(F1:F31)</f>
        <v>26.7</v>
      </c>
      <c r="G38">
        <f>AVERAGE(G1:G31)</f>
        <v>0.17132638284961374</v>
      </c>
      <c r="H38">
        <f>AVERAGE(H1:H31)</f>
        <v>98.832638284961376</v>
      </c>
      <c r="L38">
        <f>AVERAGE(L1:L31)</f>
        <v>0.6638731133333331</v>
      </c>
      <c r="M38">
        <f>AVERAGE(M1:M31)</f>
        <v>55.146666666666668</v>
      </c>
      <c r="N38">
        <f>AVERAGE(N1:N31)</f>
        <v>18.100000000000001</v>
      </c>
      <c r="O38">
        <f>AVERAGE(O1:O31)</f>
        <v>0.1699950228929252</v>
      </c>
      <c r="P38">
        <f>AVERAGE(P1:P31)</f>
        <v>90.246168955959163</v>
      </c>
      <c r="T38">
        <f>AVERAGE(T1:T31)</f>
        <v>0.4351456766666667</v>
      </c>
      <c r="U38">
        <f>AVERAGE(U1:U31)</f>
        <v>51.593333333333348</v>
      </c>
      <c r="V38">
        <f>AVERAGE(V1:V31)</f>
        <v>12.766666666666667</v>
      </c>
      <c r="W38">
        <f>AVERAGE(W1:W31)</f>
        <v>0.17247005649380354</v>
      </c>
      <c r="X38">
        <f>AVERAGE(X1:X31)</f>
        <v>81.607005649380341</v>
      </c>
    </row>
    <row r="39" spans="3:24" x14ac:dyDescent="0.2">
      <c r="D39" t="s">
        <v>230</v>
      </c>
      <c r="E39" t="s">
        <v>230</v>
      </c>
      <c r="F39" t="s">
        <v>230</v>
      </c>
      <c r="G39" t="s">
        <v>230</v>
      </c>
      <c r="H39" t="s">
        <v>230</v>
      </c>
      <c r="L39" t="s">
        <v>230</v>
      </c>
      <c r="M39" t="s">
        <v>230</v>
      </c>
      <c r="N39" t="s">
        <v>230</v>
      </c>
      <c r="O39" t="s">
        <v>230</v>
      </c>
      <c r="P39" t="s">
        <v>230</v>
      </c>
      <c r="T39" t="s">
        <v>230</v>
      </c>
      <c r="U39" t="s">
        <v>230</v>
      </c>
      <c r="V39" t="s">
        <v>230</v>
      </c>
      <c r="W39" t="s">
        <v>230</v>
      </c>
      <c r="X39" t="s">
        <v>230</v>
      </c>
    </row>
    <row r="40" spans="3:24" x14ac:dyDescent="0.2">
      <c r="D40">
        <f>STDEV(D1:D31)</f>
        <v>8.1398583477635036E-3</v>
      </c>
      <c r="E40">
        <f>STDEV(E1:E31)</f>
        <v>1.8871617075239819</v>
      </c>
      <c r="F40">
        <f>STDEV(F1:F31)</f>
        <v>1.9852907369815707</v>
      </c>
      <c r="G40">
        <f>STDEV(G1:G31)</f>
        <v>2.4392884237658895E-3</v>
      </c>
      <c r="H40">
        <f>STDEV(H1:H31)</f>
        <v>1.9991257743544042</v>
      </c>
      <c r="L40">
        <f>STDEV(L1:L31)</f>
        <v>1.3947446528029058E-2</v>
      </c>
      <c r="M40">
        <f>STDEV(M1:M31)</f>
        <v>0.8418916849544249</v>
      </c>
      <c r="N40">
        <f>STDEV(N1:N31)</f>
        <v>1.446756181350493</v>
      </c>
      <c r="O40">
        <f>STDEV(O1:O31)</f>
        <v>9.7084814734828197E-4</v>
      </c>
      <c r="P40">
        <f>STDEV(P1:P31)</f>
        <v>1.1531924431010414</v>
      </c>
      <c r="T40">
        <f>STDEV(T1:T31)</f>
        <v>1.4303582578782751E-2</v>
      </c>
      <c r="U40">
        <f>STDEV(U1:U31)</f>
        <v>0.9930563526508609</v>
      </c>
      <c r="V40">
        <f>STDEV(V1:V31)</f>
        <v>1.4546793303071961</v>
      </c>
      <c r="W40">
        <f>STDEV(W1:W31)</f>
        <v>2.4349971566130254E-3</v>
      </c>
      <c r="X40">
        <f>STDEV(X1:X31)</f>
        <v>1.5217848214090055</v>
      </c>
    </row>
  </sheetData>
  <sortState xmlns:xlrd2="http://schemas.microsoft.com/office/spreadsheetml/2017/richdata2" ref="A2:H91">
    <sortCondition ref="C1:C9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2F66-16D7-483D-A2F4-FB60C34B547B}">
  <dimension ref="A1:X40"/>
  <sheetViews>
    <sheetView workbookViewId="0">
      <selection activeCell="F58" sqref="F58"/>
    </sheetView>
  </sheetViews>
  <sheetFormatPr defaultRowHeight="14.25" x14ac:dyDescent="0.2"/>
  <sheetData>
    <row r="1" spans="1:24" x14ac:dyDescent="0.2">
      <c r="A1" t="s">
        <v>2</v>
      </c>
      <c r="B1" t="s">
        <v>3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2</v>
      </c>
      <c r="J1" t="s">
        <v>3</v>
      </c>
      <c r="K1" t="s">
        <v>4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2</v>
      </c>
      <c r="R1" t="s">
        <v>3</v>
      </c>
      <c r="S1" t="s">
        <v>4</v>
      </c>
      <c r="T1" t="s">
        <v>6</v>
      </c>
      <c r="U1" t="s">
        <v>7</v>
      </c>
      <c r="V1" t="s">
        <v>8</v>
      </c>
      <c r="W1" t="s">
        <v>9</v>
      </c>
      <c r="X1" t="s">
        <v>10</v>
      </c>
    </row>
    <row r="2" spans="1:24" x14ac:dyDescent="0.2">
      <c r="A2">
        <v>3</v>
      </c>
      <c r="B2">
        <v>30</v>
      </c>
      <c r="C2" t="s">
        <v>5</v>
      </c>
      <c r="D2">
        <v>0.39954889999999998</v>
      </c>
      <c r="E2">
        <v>53.8</v>
      </c>
      <c r="F2">
        <v>16</v>
      </c>
      <c r="G2">
        <v>0.16963791265880057</v>
      </c>
      <c r="H2">
        <v>86.763791265880059</v>
      </c>
      <c r="I2">
        <v>3</v>
      </c>
      <c r="J2">
        <v>30</v>
      </c>
      <c r="K2" t="s">
        <v>12</v>
      </c>
      <c r="L2">
        <v>0.66215069999999998</v>
      </c>
      <c r="M2">
        <v>57.4</v>
      </c>
      <c r="N2">
        <v>4</v>
      </c>
      <c r="O2">
        <v>0.16443686021343873</v>
      </c>
      <c r="P2">
        <v>77.843686021343871</v>
      </c>
      <c r="Q2">
        <v>3</v>
      </c>
      <c r="R2">
        <v>30</v>
      </c>
      <c r="S2" t="s">
        <v>14</v>
      </c>
      <c r="T2">
        <v>0.3804304</v>
      </c>
      <c r="U2">
        <v>57.4</v>
      </c>
      <c r="V2">
        <v>2</v>
      </c>
      <c r="W2">
        <v>0.16443686021343873</v>
      </c>
      <c r="X2">
        <v>75.843686021343871</v>
      </c>
    </row>
    <row r="3" spans="1:24" x14ac:dyDescent="0.2">
      <c r="A3">
        <v>3</v>
      </c>
      <c r="B3">
        <v>30</v>
      </c>
      <c r="C3" t="s">
        <v>5</v>
      </c>
      <c r="D3">
        <v>0.43994660000000002</v>
      </c>
      <c r="E3">
        <v>54.599999999999994</v>
      </c>
      <c r="F3">
        <v>18</v>
      </c>
      <c r="G3">
        <v>0.16963791265880057</v>
      </c>
      <c r="H3">
        <v>89.563791265880056</v>
      </c>
      <c r="I3">
        <v>3</v>
      </c>
      <c r="J3">
        <v>30</v>
      </c>
      <c r="K3" t="s">
        <v>12</v>
      </c>
      <c r="L3">
        <v>0.64831000000000005</v>
      </c>
      <c r="M3">
        <v>57.4</v>
      </c>
      <c r="N3">
        <v>6</v>
      </c>
      <c r="O3">
        <v>0.16443686021343873</v>
      </c>
      <c r="P3">
        <v>79.843686021343871</v>
      </c>
      <c r="Q3">
        <v>3</v>
      </c>
      <c r="R3">
        <v>30</v>
      </c>
      <c r="S3" t="s">
        <v>14</v>
      </c>
      <c r="T3">
        <v>0.36790669999999998</v>
      </c>
      <c r="U3">
        <v>58</v>
      </c>
      <c r="V3">
        <v>1</v>
      </c>
      <c r="W3">
        <v>0.16363480559554011</v>
      </c>
      <c r="X3">
        <v>75.363480559554006</v>
      </c>
    </row>
    <row r="4" spans="1:24" x14ac:dyDescent="0.2">
      <c r="A4">
        <v>3</v>
      </c>
      <c r="B4">
        <v>30</v>
      </c>
      <c r="C4" t="s">
        <v>5</v>
      </c>
      <c r="D4">
        <v>0.38745220000000002</v>
      </c>
      <c r="E4">
        <v>57.199999999999996</v>
      </c>
      <c r="F4">
        <v>18</v>
      </c>
      <c r="G4">
        <v>0.16693076376293794</v>
      </c>
      <c r="H4">
        <v>91.893076376293791</v>
      </c>
      <c r="I4">
        <v>3</v>
      </c>
      <c r="J4">
        <v>30</v>
      </c>
      <c r="K4" t="s">
        <v>12</v>
      </c>
      <c r="L4">
        <v>0.63865970000000005</v>
      </c>
      <c r="M4">
        <v>56.8</v>
      </c>
      <c r="N4">
        <v>5</v>
      </c>
      <c r="O4">
        <v>0.16524812341081874</v>
      </c>
      <c r="P4">
        <v>78.324812341081866</v>
      </c>
      <c r="Q4">
        <v>3</v>
      </c>
      <c r="R4">
        <v>30</v>
      </c>
      <c r="S4" t="s">
        <v>14</v>
      </c>
      <c r="T4">
        <v>0.35729719999999998</v>
      </c>
      <c r="U4">
        <v>57.4</v>
      </c>
      <c r="V4">
        <v>2</v>
      </c>
      <c r="W4">
        <v>0.16443686021343873</v>
      </c>
      <c r="X4">
        <v>75.843686021343871</v>
      </c>
    </row>
    <row r="5" spans="1:24" x14ac:dyDescent="0.2">
      <c r="A5">
        <v>3</v>
      </c>
      <c r="B5">
        <v>30</v>
      </c>
      <c r="C5" t="s">
        <v>5</v>
      </c>
      <c r="D5">
        <v>0.3784014</v>
      </c>
      <c r="E5">
        <v>53.8</v>
      </c>
      <c r="F5">
        <v>16</v>
      </c>
      <c r="G5">
        <v>0.16963791265880057</v>
      </c>
      <c r="H5">
        <v>86.763791265880059</v>
      </c>
      <c r="I5">
        <v>3</v>
      </c>
      <c r="J5">
        <v>30</v>
      </c>
      <c r="K5" t="s">
        <v>12</v>
      </c>
      <c r="L5">
        <v>0.63239330000000005</v>
      </c>
      <c r="M5">
        <v>57.4</v>
      </c>
      <c r="N5">
        <v>4</v>
      </c>
      <c r="O5">
        <v>0.16443686021343873</v>
      </c>
      <c r="P5">
        <v>77.843686021343871</v>
      </c>
      <c r="Q5">
        <v>3</v>
      </c>
      <c r="R5">
        <v>30</v>
      </c>
      <c r="S5" t="s">
        <v>14</v>
      </c>
      <c r="T5">
        <v>0.37161139999999998</v>
      </c>
      <c r="U5">
        <v>56.8</v>
      </c>
      <c r="V5">
        <v>4</v>
      </c>
      <c r="W5">
        <v>0.16524812341081874</v>
      </c>
      <c r="X5">
        <v>77.324812341081866</v>
      </c>
    </row>
    <row r="6" spans="1:24" x14ac:dyDescent="0.2">
      <c r="A6">
        <v>3</v>
      </c>
      <c r="B6">
        <v>30</v>
      </c>
      <c r="C6" t="s">
        <v>5</v>
      </c>
      <c r="D6">
        <v>0.37367359999999999</v>
      </c>
      <c r="E6">
        <v>54.599999999999994</v>
      </c>
      <c r="F6">
        <v>19</v>
      </c>
      <c r="G6">
        <v>0.16963791265880057</v>
      </c>
      <c r="H6">
        <v>90.563791265880056</v>
      </c>
      <c r="I6">
        <v>3</v>
      </c>
      <c r="J6">
        <v>30</v>
      </c>
      <c r="K6" t="s">
        <v>12</v>
      </c>
      <c r="L6">
        <v>0.63556049999999997</v>
      </c>
      <c r="M6">
        <v>56.8</v>
      </c>
      <c r="N6">
        <v>5</v>
      </c>
      <c r="O6">
        <v>0.16524812341081874</v>
      </c>
      <c r="P6">
        <v>78.324812341081866</v>
      </c>
      <c r="Q6">
        <v>3</v>
      </c>
      <c r="R6">
        <v>30</v>
      </c>
      <c r="S6" t="s">
        <v>14</v>
      </c>
      <c r="T6">
        <v>0.3897852</v>
      </c>
      <c r="U6">
        <v>57.4</v>
      </c>
      <c r="V6">
        <v>3</v>
      </c>
      <c r="W6">
        <v>0.16443686021343873</v>
      </c>
      <c r="X6">
        <v>76.843686021343871</v>
      </c>
    </row>
    <row r="7" spans="1:24" x14ac:dyDescent="0.2">
      <c r="A7">
        <v>3</v>
      </c>
      <c r="B7">
        <v>30</v>
      </c>
      <c r="C7" t="s">
        <v>5</v>
      </c>
      <c r="D7">
        <v>0.43324449999999998</v>
      </c>
      <c r="E7">
        <v>55.199999999999996</v>
      </c>
      <c r="F7">
        <v>22</v>
      </c>
      <c r="G7">
        <v>0.16874398457147607</v>
      </c>
      <c r="H7">
        <v>94.074398457147595</v>
      </c>
      <c r="I7">
        <v>3</v>
      </c>
      <c r="J7">
        <v>30</v>
      </c>
      <c r="K7" t="s">
        <v>12</v>
      </c>
      <c r="L7">
        <v>0.64199919999999999</v>
      </c>
      <c r="M7">
        <v>57.4</v>
      </c>
      <c r="N7">
        <v>4</v>
      </c>
      <c r="O7">
        <v>0.16443686021343873</v>
      </c>
      <c r="P7">
        <v>77.843686021343871</v>
      </c>
      <c r="Q7">
        <v>3</v>
      </c>
      <c r="R7">
        <v>30</v>
      </c>
      <c r="S7" t="s">
        <v>14</v>
      </c>
      <c r="T7">
        <v>0.367141</v>
      </c>
      <c r="U7">
        <v>57.4</v>
      </c>
      <c r="V7">
        <v>3</v>
      </c>
      <c r="W7">
        <v>0.16443686021343873</v>
      </c>
      <c r="X7">
        <v>76.843686021343871</v>
      </c>
    </row>
    <row r="8" spans="1:24" x14ac:dyDescent="0.2">
      <c r="A8">
        <v>3</v>
      </c>
      <c r="B8">
        <v>30</v>
      </c>
      <c r="C8" t="s">
        <v>5</v>
      </c>
      <c r="D8">
        <v>0.42933850000000001</v>
      </c>
      <c r="E8">
        <v>55.8</v>
      </c>
      <c r="F8">
        <v>17</v>
      </c>
      <c r="G8">
        <v>0.16782264622097726</v>
      </c>
      <c r="H8">
        <v>89.582264622097725</v>
      </c>
      <c r="I8">
        <v>3</v>
      </c>
      <c r="J8">
        <v>30</v>
      </c>
      <c r="K8" t="s">
        <v>12</v>
      </c>
      <c r="L8">
        <v>0.6606727</v>
      </c>
      <c r="M8">
        <v>56.8</v>
      </c>
      <c r="N8">
        <v>4</v>
      </c>
      <c r="O8">
        <v>0.16524812341081874</v>
      </c>
      <c r="P8">
        <v>77.324812341081866</v>
      </c>
      <c r="Q8">
        <v>3</v>
      </c>
      <c r="R8">
        <v>30</v>
      </c>
      <c r="S8" t="s">
        <v>14</v>
      </c>
      <c r="T8">
        <v>0.3584946</v>
      </c>
      <c r="U8">
        <v>58</v>
      </c>
      <c r="V8">
        <v>1</v>
      </c>
      <c r="W8">
        <v>0.16363480559554011</v>
      </c>
      <c r="X8">
        <v>75.363480559554006</v>
      </c>
    </row>
    <row r="9" spans="1:24" x14ac:dyDescent="0.2">
      <c r="A9">
        <v>3</v>
      </c>
      <c r="B9">
        <v>30</v>
      </c>
      <c r="C9" t="s">
        <v>5</v>
      </c>
      <c r="D9">
        <v>0.43062889999999998</v>
      </c>
      <c r="E9">
        <v>52.79999999999999</v>
      </c>
      <c r="F9">
        <v>22</v>
      </c>
      <c r="G9">
        <v>0.17360739953810886</v>
      </c>
      <c r="H9">
        <v>92.160739953810875</v>
      </c>
      <c r="I9">
        <v>3</v>
      </c>
      <c r="J9">
        <v>30</v>
      </c>
      <c r="K9" t="s">
        <v>12</v>
      </c>
      <c r="L9">
        <v>0.68171700000000002</v>
      </c>
      <c r="M9">
        <v>56.8</v>
      </c>
      <c r="N9">
        <v>6</v>
      </c>
      <c r="O9">
        <v>0.16524812341081874</v>
      </c>
      <c r="P9">
        <v>79.324812341081866</v>
      </c>
      <c r="Q9">
        <v>3</v>
      </c>
      <c r="R9">
        <v>30</v>
      </c>
      <c r="S9" t="s">
        <v>14</v>
      </c>
      <c r="T9">
        <v>0.36595420000000001</v>
      </c>
      <c r="U9">
        <v>58</v>
      </c>
      <c r="V9">
        <v>1</v>
      </c>
      <c r="W9">
        <v>0.16363480559554011</v>
      </c>
      <c r="X9">
        <v>75.363480559554006</v>
      </c>
    </row>
    <row r="10" spans="1:24" x14ac:dyDescent="0.2">
      <c r="A10">
        <v>3</v>
      </c>
      <c r="B10">
        <v>30</v>
      </c>
      <c r="C10" t="s">
        <v>5</v>
      </c>
      <c r="D10">
        <v>0.41999829999999999</v>
      </c>
      <c r="E10">
        <v>55.199999999999996</v>
      </c>
      <c r="F10">
        <v>18</v>
      </c>
      <c r="G10">
        <v>0.16874398457147607</v>
      </c>
      <c r="H10">
        <v>90.074398457147595</v>
      </c>
      <c r="I10">
        <v>3</v>
      </c>
      <c r="J10">
        <v>30</v>
      </c>
      <c r="K10" t="s">
        <v>12</v>
      </c>
      <c r="L10">
        <v>0.64145759999999996</v>
      </c>
      <c r="M10">
        <v>57.4</v>
      </c>
      <c r="N10">
        <v>4</v>
      </c>
      <c r="O10">
        <v>0.16443686021343873</v>
      </c>
      <c r="P10">
        <v>77.843686021343871</v>
      </c>
      <c r="Q10">
        <v>3</v>
      </c>
      <c r="R10">
        <v>30</v>
      </c>
      <c r="S10" t="s">
        <v>14</v>
      </c>
      <c r="T10">
        <v>0.39993050000000002</v>
      </c>
      <c r="U10">
        <v>58</v>
      </c>
      <c r="V10">
        <v>1</v>
      </c>
      <c r="W10">
        <v>0.16363480559554011</v>
      </c>
      <c r="X10">
        <v>75.363480559554006</v>
      </c>
    </row>
    <row r="11" spans="1:24" x14ac:dyDescent="0.2">
      <c r="A11">
        <v>3</v>
      </c>
      <c r="B11">
        <v>30</v>
      </c>
      <c r="C11" t="s">
        <v>5</v>
      </c>
      <c r="D11">
        <v>0.44410899999999998</v>
      </c>
      <c r="E11">
        <v>53.399999999999991</v>
      </c>
      <c r="F11">
        <v>20</v>
      </c>
      <c r="G11">
        <v>0.17185368367366327</v>
      </c>
      <c r="H11">
        <v>90.585368367366314</v>
      </c>
      <c r="I11">
        <v>3</v>
      </c>
      <c r="J11">
        <v>30</v>
      </c>
      <c r="K11" t="s">
        <v>12</v>
      </c>
      <c r="L11">
        <v>0.67824189999999995</v>
      </c>
      <c r="M11">
        <v>56.8</v>
      </c>
      <c r="N11">
        <v>5</v>
      </c>
      <c r="O11">
        <v>0.16524812341081874</v>
      </c>
      <c r="P11">
        <v>78.324812341081866</v>
      </c>
      <c r="Q11">
        <v>3</v>
      </c>
      <c r="R11">
        <v>30</v>
      </c>
      <c r="S11" t="s">
        <v>14</v>
      </c>
      <c r="T11">
        <v>0.37558409999999998</v>
      </c>
      <c r="U11">
        <v>57.4</v>
      </c>
      <c r="V11">
        <v>3</v>
      </c>
      <c r="W11">
        <v>0.16443686021343873</v>
      </c>
      <c r="X11">
        <v>76.843686021343871</v>
      </c>
    </row>
    <row r="12" spans="1:24" x14ac:dyDescent="0.2">
      <c r="A12">
        <v>3</v>
      </c>
      <c r="B12">
        <v>30</v>
      </c>
      <c r="C12" t="s">
        <v>5</v>
      </c>
      <c r="D12">
        <v>0.43902799999999997</v>
      </c>
      <c r="E12">
        <v>55.8</v>
      </c>
      <c r="F12">
        <v>19</v>
      </c>
      <c r="G12">
        <v>0.16782264622097726</v>
      </c>
      <c r="H12">
        <v>91.582264622097725</v>
      </c>
      <c r="I12">
        <v>3</v>
      </c>
      <c r="J12">
        <v>30</v>
      </c>
      <c r="K12" t="s">
        <v>12</v>
      </c>
      <c r="L12">
        <v>0.65075550000000004</v>
      </c>
      <c r="M12">
        <v>57.4</v>
      </c>
      <c r="N12">
        <v>4</v>
      </c>
      <c r="O12">
        <v>0.16443686021343873</v>
      </c>
      <c r="P12">
        <v>77.843686021343871</v>
      </c>
      <c r="Q12">
        <v>3</v>
      </c>
      <c r="R12">
        <v>30</v>
      </c>
      <c r="S12" t="s">
        <v>14</v>
      </c>
      <c r="T12">
        <v>0.37701269999999998</v>
      </c>
      <c r="U12">
        <v>57.4</v>
      </c>
      <c r="V12">
        <v>3</v>
      </c>
      <c r="W12">
        <v>0.16443686021343873</v>
      </c>
      <c r="X12">
        <v>76.843686021343871</v>
      </c>
    </row>
    <row r="13" spans="1:24" x14ac:dyDescent="0.2">
      <c r="A13">
        <v>3</v>
      </c>
      <c r="B13">
        <v>30</v>
      </c>
      <c r="C13" t="s">
        <v>5</v>
      </c>
      <c r="D13">
        <v>0.41445359999999998</v>
      </c>
      <c r="E13">
        <v>51.999999999999993</v>
      </c>
      <c r="F13">
        <v>24</v>
      </c>
      <c r="G13">
        <v>0.17360739953810886</v>
      </c>
      <c r="H13">
        <v>93.360739953810878</v>
      </c>
      <c r="I13">
        <v>3</v>
      </c>
      <c r="J13">
        <v>30</v>
      </c>
      <c r="K13" t="s">
        <v>12</v>
      </c>
      <c r="L13">
        <v>0.66107110000000002</v>
      </c>
      <c r="M13">
        <v>57.4</v>
      </c>
      <c r="N13">
        <v>4</v>
      </c>
      <c r="O13">
        <v>0.16443686021343873</v>
      </c>
      <c r="P13">
        <v>77.843686021343871</v>
      </c>
      <c r="Q13">
        <v>3</v>
      </c>
      <c r="R13">
        <v>30</v>
      </c>
      <c r="S13" t="s">
        <v>14</v>
      </c>
      <c r="T13">
        <v>0.35058299999999998</v>
      </c>
      <c r="U13">
        <v>57.4</v>
      </c>
      <c r="V13">
        <v>2</v>
      </c>
      <c r="W13">
        <v>0.16443686021343873</v>
      </c>
      <c r="X13">
        <v>75.843686021343871</v>
      </c>
    </row>
    <row r="14" spans="1:24" x14ac:dyDescent="0.2">
      <c r="A14">
        <v>3</v>
      </c>
      <c r="B14">
        <v>30</v>
      </c>
      <c r="C14" t="s">
        <v>5</v>
      </c>
      <c r="D14">
        <v>0.43775160000000002</v>
      </c>
      <c r="E14">
        <v>55.199999999999996</v>
      </c>
      <c r="F14">
        <v>19</v>
      </c>
      <c r="G14">
        <v>0.16874398457147607</v>
      </c>
      <c r="H14">
        <v>91.074398457147595</v>
      </c>
      <c r="I14">
        <v>3</v>
      </c>
      <c r="J14">
        <v>30</v>
      </c>
      <c r="K14" t="s">
        <v>12</v>
      </c>
      <c r="L14">
        <v>0.65219300000000002</v>
      </c>
      <c r="M14">
        <v>57.4</v>
      </c>
      <c r="N14">
        <v>4</v>
      </c>
      <c r="O14">
        <v>0.16443686021343873</v>
      </c>
      <c r="P14">
        <v>77.843686021343871</v>
      </c>
      <c r="Q14">
        <v>3</v>
      </c>
      <c r="R14">
        <v>30</v>
      </c>
      <c r="S14" t="s">
        <v>14</v>
      </c>
      <c r="T14">
        <v>0.39395619999999998</v>
      </c>
      <c r="U14">
        <v>57.4</v>
      </c>
      <c r="V14">
        <v>3</v>
      </c>
      <c r="W14">
        <v>0.16443686021343873</v>
      </c>
      <c r="X14">
        <v>76.843686021343871</v>
      </c>
    </row>
    <row r="15" spans="1:24" x14ac:dyDescent="0.2">
      <c r="A15">
        <v>3</v>
      </c>
      <c r="B15">
        <v>30</v>
      </c>
      <c r="C15" t="s">
        <v>5</v>
      </c>
      <c r="D15">
        <v>0.42341440000000002</v>
      </c>
      <c r="E15">
        <v>54.4</v>
      </c>
      <c r="F15">
        <v>15</v>
      </c>
      <c r="G15">
        <v>0.16874398457147607</v>
      </c>
      <c r="H15">
        <v>86.274398457147612</v>
      </c>
      <c r="I15">
        <v>3</v>
      </c>
      <c r="J15">
        <v>30</v>
      </c>
      <c r="K15" t="s">
        <v>12</v>
      </c>
      <c r="L15">
        <v>0.65768499999999996</v>
      </c>
      <c r="M15">
        <v>56.8</v>
      </c>
      <c r="N15">
        <v>5</v>
      </c>
      <c r="O15">
        <v>0.16524812341081874</v>
      </c>
      <c r="P15">
        <v>78.324812341081866</v>
      </c>
      <c r="Q15">
        <v>3</v>
      </c>
      <c r="R15">
        <v>30</v>
      </c>
      <c r="S15" t="s">
        <v>14</v>
      </c>
      <c r="T15">
        <v>0.39949230000000002</v>
      </c>
      <c r="U15">
        <v>58</v>
      </c>
      <c r="V15">
        <v>2</v>
      </c>
      <c r="W15">
        <v>0.16363480559554011</v>
      </c>
      <c r="X15">
        <v>76.363480559554006</v>
      </c>
    </row>
    <row r="16" spans="1:24" x14ac:dyDescent="0.2">
      <c r="A16">
        <v>3</v>
      </c>
      <c r="B16">
        <v>30</v>
      </c>
      <c r="C16" t="s">
        <v>5</v>
      </c>
      <c r="D16">
        <v>0.44394630000000002</v>
      </c>
      <c r="E16">
        <v>52.999999999999986</v>
      </c>
      <c r="F16">
        <v>25</v>
      </c>
      <c r="G16">
        <v>0.17510348858216454</v>
      </c>
      <c r="H16">
        <v>95.510348858216446</v>
      </c>
      <c r="I16">
        <v>3</v>
      </c>
      <c r="J16">
        <v>30</v>
      </c>
      <c r="K16" t="s">
        <v>12</v>
      </c>
      <c r="L16">
        <v>0.6662612</v>
      </c>
      <c r="M16">
        <v>56.8</v>
      </c>
      <c r="N16">
        <v>5</v>
      </c>
      <c r="O16">
        <v>0.16524812341081874</v>
      </c>
      <c r="P16">
        <v>78.324812341081866</v>
      </c>
      <c r="Q16">
        <v>3</v>
      </c>
      <c r="R16">
        <v>30</v>
      </c>
      <c r="S16" t="s">
        <v>14</v>
      </c>
      <c r="T16">
        <v>0.38957940000000002</v>
      </c>
      <c r="U16">
        <v>58</v>
      </c>
      <c r="V16">
        <v>1</v>
      </c>
      <c r="W16">
        <v>0.16363480559554011</v>
      </c>
      <c r="X16">
        <v>75.363480559554006</v>
      </c>
    </row>
    <row r="17" spans="1:24" x14ac:dyDescent="0.2">
      <c r="A17">
        <v>3</v>
      </c>
      <c r="B17">
        <v>30</v>
      </c>
      <c r="C17" t="s">
        <v>5</v>
      </c>
      <c r="D17">
        <v>0.46482440000000003</v>
      </c>
      <c r="E17">
        <v>55.199999999999996</v>
      </c>
      <c r="F17">
        <v>20</v>
      </c>
      <c r="G17">
        <v>0.16874398457147607</v>
      </c>
      <c r="H17">
        <v>92.074398457147595</v>
      </c>
      <c r="I17">
        <v>3</v>
      </c>
      <c r="J17">
        <v>30</v>
      </c>
      <c r="K17" t="s">
        <v>12</v>
      </c>
      <c r="L17">
        <v>0.64490499999999995</v>
      </c>
      <c r="M17">
        <v>56.199999999999996</v>
      </c>
      <c r="N17">
        <v>6</v>
      </c>
      <c r="O17">
        <v>0.16607578023887712</v>
      </c>
      <c r="P17">
        <v>78.807578023887714</v>
      </c>
      <c r="Q17">
        <v>3</v>
      </c>
      <c r="R17">
        <v>30</v>
      </c>
      <c r="S17" t="s">
        <v>14</v>
      </c>
      <c r="T17">
        <v>0.36981239999999999</v>
      </c>
      <c r="U17">
        <v>57.4</v>
      </c>
      <c r="V17">
        <v>3</v>
      </c>
      <c r="W17">
        <v>0.16443686021343873</v>
      </c>
      <c r="X17">
        <v>76.843686021343871</v>
      </c>
    </row>
    <row r="18" spans="1:24" x14ac:dyDescent="0.2">
      <c r="A18">
        <v>3</v>
      </c>
      <c r="B18">
        <v>30</v>
      </c>
      <c r="C18" t="s">
        <v>5</v>
      </c>
      <c r="D18">
        <v>0.41432099999999999</v>
      </c>
      <c r="E18">
        <v>53.199999999999996</v>
      </c>
      <c r="F18">
        <v>22</v>
      </c>
      <c r="G18">
        <v>0.17053833060089665</v>
      </c>
      <c r="H18">
        <v>92.253833060089661</v>
      </c>
      <c r="I18">
        <v>3</v>
      </c>
      <c r="J18">
        <v>30</v>
      </c>
      <c r="K18" t="s">
        <v>12</v>
      </c>
      <c r="L18">
        <v>0.63695299999999999</v>
      </c>
      <c r="M18">
        <v>56.8</v>
      </c>
      <c r="N18">
        <v>4</v>
      </c>
      <c r="O18">
        <v>0.16524812341081874</v>
      </c>
      <c r="P18">
        <v>77.324812341081866</v>
      </c>
      <c r="Q18">
        <v>3</v>
      </c>
      <c r="R18">
        <v>30</v>
      </c>
      <c r="S18" t="s">
        <v>14</v>
      </c>
      <c r="T18">
        <v>0.37247750000000002</v>
      </c>
      <c r="U18">
        <v>58</v>
      </c>
      <c r="V18">
        <v>1</v>
      </c>
      <c r="W18">
        <v>0.16363480559554011</v>
      </c>
      <c r="X18">
        <v>75.363480559554006</v>
      </c>
    </row>
    <row r="19" spans="1:24" x14ac:dyDescent="0.2">
      <c r="A19">
        <v>3</v>
      </c>
      <c r="B19">
        <v>30</v>
      </c>
      <c r="C19" t="s">
        <v>5</v>
      </c>
      <c r="D19">
        <v>0.41510910000000001</v>
      </c>
      <c r="E19">
        <v>55.199999999999996</v>
      </c>
      <c r="F19">
        <v>19</v>
      </c>
      <c r="G19">
        <v>0.16874398457147607</v>
      </c>
      <c r="H19">
        <v>91.074398457147595</v>
      </c>
      <c r="I19">
        <v>3</v>
      </c>
      <c r="J19">
        <v>30</v>
      </c>
      <c r="K19" t="s">
        <v>12</v>
      </c>
      <c r="L19">
        <v>0.67694650000000001</v>
      </c>
      <c r="M19">
        <v>55.6</v>
      </c>
      <c r="N19">
        <v>8</v>
      </c>
      <c r="O19">
        <v>0.16693076376293794</v>
      </c>
      <c r="P19">
        <v>80.293076376293797</v>
      </c>
      <c r="Q19">
        <v>3</v>
      </c>
      <c r="R19">
        <v>30</v>
      </c>
      <c r="S19" t="s">
        <v>14</v>
      </c>
      <c r="T19">
        <v>0.3634561</v>
      </c>
      <c r="U19">
        <v>58</v>
      </c>
      <c r="V19">
        <v>1</v>
      </c>
      <c r="W19">
        <v>0.16363480559554011</v>
      </c>
      <c r="X19">
        <v>75.363480559554006</v>
      </c>
    </row>
    <row r="20" spans="1:24" x14ac:dyDescent="0.2">
      <c r="A20">
        <v>3</v>
      </c>
      <c r="B20">
        <v>30</v>
      </c>
      <c r="C20" t="s">
        <v>5</v>
      </c>
      <c r="D20">
        <v>0.39295649999999999</v>
      </c>
      <c r="E20">
        <v>54.199999999999989</v>
      </c>
      <c r="F20">
        <v>20</v>
      </c>
      <c r="G20">
        <v>0.17185368367366327</v>
      </c>
      <c r="H20">
        <v>91.385368367366311</v>
      </c>
      <c r="I20">
        <v>3</v>
      </c>
      <c r="J20">
        <v>30</v>
      </c>
      <c r="K20" t="s">
        <v>12</v>
      </c>
      <c r="L20">
        <v>0.65349040000000003</v>
      </c>
      <c r="M20">
        <v>57.4</v>
      </c>
      <c r="N20">
        <v>4</v>
      </c>
      <c r="O20">
        <v>0.16443686021343873</v>
      </c>
      <c r="P20">
        <v>77.843686021343871</v>
      </c>
      <c r="Q20">
        <v>3</v>
      </c>
      <c r="R20">
        <v>30</v>
      </c>
      <c r="S20" t="s">
        <v>14</v>
      </c>
      <c r="T20">
        <v>0.36265310000000001</v>
      </c>
      <c r="U20">
        <v>57.4</v>
      </c>
      <c r="V20">
        <v>3</v>
      </c>
      <c r="W20">
        <v>0.16443686021343873</v>
      </c>
      <c r="X20">
        <v>76.843686021343871</v>
      </c>
    </row>
    <row r="21" spans="1:24" x14ac:dyDescent="0.2">
      <c r="A21">
        <v>3</v>
      </c>
      <c r="B21">
        <v>30</v>
      </c>
      <c r="C21" t="s">
        <v>5</v>
      </c>
      <c r="D21">
        <v>0.37693019999999999</v>
      </c>
      <c r="E21">
        <v>57</v>
      </c>
      <c r="F21">
        <v>11</v>
      </c>
      <c r="G21">
        <v>0.16607578023887712</v>
      </c>
      <c r="H21">
        <v>84.607578023887712</v>
      </c>
      <c r="I21">
        <v>3</v>
      </c>
      <c r="J21">
        <v>30</v>
      </c>
      <c r="K21" t="s">
        <v>12</v>
      </c>
      <c r="L21">
        <v>0.63496300000000006</v>
      </c>
      <c r="M21">
        <v>57.4</v>
      </c>
      <c r="N21">
        <v>4</v>
      </c>
      <c r="O21">
        <v>0.16443686021343873</v>
      </c>
      <c r="P21">
        <v>77.843686021343871</v>
      </c>
      <c r="Q21">
        <v>3</v>
      </c>
      <c r="R21">
        <v>30</v>
      </c>
      <c r="S21" t="s">
        <v>14</v>
      </c>
      <c r="T21">
        <v>0.38607970000000003</v>
      </c>
      <c r="U21">
        <v>57.4</v>
      </c>
      <c r="V21">
        <v>3</v>
      </c>
      <c r="W21">
        <v>0.16443686021343873</v>
      </c>
      <c r="X21">
        <v>76.843686021343871</v>
      </c>
    </row>
    <row r="22" spans="1:24" x14ac:dyDescent="0.2">
      <c r="A22">
        <v>3</v>
      </c>
      <c r="B22">
        <v>30</v>
      </c>
      <c r="C22" t="s">
        <v>5</v>
      </c>
      <c r="D22">
        <v>0.37270130000000001</v>
      </c>
      <c r="E22">
        <v>55.399999999999991</v>
      </c>
      <c r="F22">
        <v>20</v>
      </c>
      <c r="G22">
        <v>0.16963791265880057</v>
      </c>
      <c r="H22">
        <v>92.363791265880053</v>
      </c>
      <c r="I22">
        <v>3</v>
      </c>
      <c r="J22">
        <v>30</v>
      </c>
      <c r="K22" t="s">
        <v>12</v>
      </c>
      <c r="L22">
        <v>0.63367660000000003</v>
      </c>
      <c r="M22">
        <v>56.8</v>
      </c>
      <c r="N22">
        <v>5</v>
      </c>
      <c r="O22">
        <v>0.16524812341081874</v>
      </c>
      <c r="P22">
        <v>78.324812341081866</v>
      </c>
      <c r="Q22">
        <v>3</v>
      </c>
      <c r="R22">
        <v>30</v>
      </c>
      <c r="S22" t="s">
        <v>14</v>
      </c>
      <c r="T22">
        <v>0.33855760000000001</v>
      </c>
      <c r="U22">
        <v>57.4</v>
      </c>
      <c r="V22">
        <v>2</v>
      </c>
      <c r="W22">
        <v>0.16443686021343873</v>
      </c>
      <c r="X22">
        <v>75.843686021343871</v>
      </c>
    </row>
    <row r="23" spans="1:24" x14ac:dyDescent="0.2">
      <c r="A23">
        <v>3</v>
      </c>
      <c r="B23">
        <v>30</v>
      </c>
      <c r="C23" t="s">
        <v>5</v>
      </c>
      <c r="D23">
        <v>0.38087349999999998</v>
      </c>
      <c r="E23">
        <v>55.199999999999996</v>
      </c>
      <c r="F23">
        <v>16</v>
      </c>
      <c r="G23">
        <v>0.16874398457147607</v>
      </c>
      <c r="H23">
        <v>88.074398457147595</v>
      </c>
      <c r="I23">
        <v>3</v>
      </c>
      <c r="J23">
        <v>30</v>
      </c>
      <c r="K23" t="s">
        <v>12</v>
      </c>
      <c r="L23">
        <v>0.62902950000000002</v>
      </c>
      <c r="M23">
        <v>56.8</v>
      </c>
      <c r="N23">
        <v>4</v>
      </c>
      <c r="O23">
        <v>0.16524812341081874</v>
      </c>
      <c r="P23">
        <v>77.324812341081866</v>
      </c>
      <c r="Q23">
        <v>3</v>
      </c>
      <c r="R23">
        <v>30</v>
      </c>
      <c r="S23" t="s">
        <v>14</v>
      </c>
      <c r="T23">
        <v>0.35687459999999999</v>
      </c>
      <c r="U23">
        <v>57.4</v>
      </c>
      <c r="V23">
        <v>2</v>
      </c>
      <c r="W23">
        <v>0.16443686021343873</v>
      </c>
      <c r="X23">
        <v>75.843686021343871</v>
      </c>
    </row>
    <row r="24" spans="1:24" x14ac:dyDescent="0.2">
      <c r="A24">
        <v>3</v>
      </c>
      <c r="B24">
        <v>30</v>
      </c>
      <c r="C24" t="s">
        <v>5</v>
      </c>
      <c r="D24">
        <v>0.39237499999999997</v>
      </c>
      <c r="E24">
        <v>54.79999999999999</v>
      </c>
      <c r="F24">
        <v>19</v>
      </c>
      <c r="G24">
        <v>0.17053833060089665</v>
      </c>
      <c r="H24">
        <v>90.853833060089656</v>
      </c>
      <c r="I24">
        <v>3</v>
      </c>
      <c r="J24">
        <v>30</v>
      </c>
      <c r="K24" t="s">
        <v>12</v>
      </c>
      <c r="L24">
        <v>0.63256710000000005</v>
      </c>
      <c r="M24">
        <v>56.8</v>
      </c>
      <c r="N24">
        <v>5</v>
      </c>
      <c r="O24">
        <v>0.16524812341081874</v>
      </c>
      <c r="P24">
        <v>78.324812341081866</v>
      </c>
      <c r="Q24">
        <v>3</v>
      </c>
      <c r="R24">
        <v>30</v>
      </c>
      <c r="S24" t="s">
        <v>14</v>
      </c>
      <c r="T24">
        <v>0.33914280000000002</v>
      </c>
      <c r="U24">
        <v>57.4</v>
      </c>
      <c r="V24">
        <v>2</v>
      </c>
      <c r="W24">
        <v>0.16443686021343873</v>
      </c>
      <c r="X24">
        <v>75.843686021343871</v>
      </c>
    </row>
    <row r="25" spans="1:24" x14ac:dyDescent="0.2">
      <c r="A25">
        <v>3</v>
      </c>
      <c r="B25">
        <v>30</v>
      </c>
      <c r="C25" t="s">
        <v>5</v>
      </c>
      <c r="D25">
        <v>0.39003650000000001</v>
      </c>
      <c r="E25">
        <v>55.199999999999996</v>
      </c>
      <c r="F25">
        <v>16</v>
      </c>
      <c r="G25">
        <v>0.16874398457147607</v>
      </c>
      <c r="H25">
        <v>88.074398457147595</v>
      </c>
      <c r="I25">
        <v>3</v>
      </c>
      <c r="J25">
        <v>30</v>
      </c>
      <c r="K25" t="s">
        <v>12</v>
      </c>
      <c r="L25">
        <v>0.62511099999999997</v>
      </c>
      <c r="M25">
        <v>57.4</v>
      </c>
      <c r="N25">
        <v>6</v>
      </c>
      <c r="O25">
        <v>0.16443686021343873</v>
      </c>
      <c r="P25">
        <v>79.843686021343871</v>
      </c>
      <c r="Q25">
        <v>3</v>
      </c>
      <c r="R25">
        <v>30</v>
      </c>
      <c r="S25" t="s">
        <v>14</v>
      </c>
      <c r="T25">
        <v>0.35853489999999999</v>
      </c>
      <c r="U25">
        <v>58</v>
      </c>
      <c r="V25">
        <v>2</v>
      </c>
      <c r="W25">
        <v>0.16363480559554011</v>
      </c>
      <c r="X25">
        <v>76.363480559554006</v>
      </c>
    </row>
    <row r="26" spans="1:24" x14ac:dyDescent="0.2">
      <c r="A26">
        <v>3</v>
      </c>
      <c r="B26">
        <v>30</v>
      </c>
      <c r="C26" t="s">
        <v>5</v>
      </c>
      <c r="D26">
        <v>0.39534580000000002</v>
      </c>
      <c r="E26">
        <v>55.199999999999996</v>
      </c>
      <c r="F26">
        <v>20</v>
      </c>
      <c r="G26">
        <v>0.16874398457147607</v>
      </c>
      <c r="H26">
        <v>92.074398457147595</v>
      </c>
      <c r="I26">
        <v>3</v>
      </c>
      <c r="J26">
        <v>30</v>
      </c>
      <c r="K26" t="s">
        <v>12</v>
      </c>
      <c r="L26">
        <v>0.61725019999999997</v>
      </c>
      <c r="M26">
        <v>56.2</v>
      </c>
      <c r="N26">
        <v>7</v>
      </c>
      <c r="O26">
        <v>0.16607578023887712</v>
      </c>
      <c r="P26">
        <v>79.807578023887714</v>
      </c>
      <c r="Q26">
        <v>3</v>
      </c>
      <c r="R26">
        <v>30</v>
      </c>
      <c r="S26" t="s">
        <v>14</v>
      </c>
      <c r="T26">
        <v>0.37926860000000001</v>
      </c>
      <c r="U26">
        <v>57.4</v>
      </c>
      <c r="V26">
        <v>3</v>
      </c>
      <c r="W26">
        <v>0.16443686021343873</v>
      </c>
      <c r="X26">
        <v>76.843686021343871</v>
      </c>
    </row>
    <row r="27" spans="1:24" x14ac:dyDescent="0.2">
      <c r="A27">
        <v>3</v>
      </c>
      <c r="B27">
        <v>30</v>
      </c>
      <c r="C27" t="s">
        <v>5</v>
      </c>
      <c r="D27">
        <v>0.37895600000000002</v>
      </c>
      <c r="E27">
        <v>54.599999999999994</v>
      </c>
      <c r="F27">
        <v>20</v>
      </c>
      <c r="G27">
        <v>0.16963791265880057</v>
      </c>
      <c r="H27">
        <v>91.563791265880056</v>
      </c>
      <c r="I27">
        <v>3</v>
      </c>
      <c r="J27">
        <v>30</v>
      </c>
      <c r="K27" t="s">
        <v>12</v>
      </c>
      <c r="L27">
        <v>0.60752349999999999</v>
      </c>
      <c r="M27">
        <v>56.8</v>
      </c>
      <c r="N27">
        <v>6</v>
      </c>
      <c r="O27">
        <v>0.16524812341081874</v>
      </c>
      <c r="P27">
        <v>79.324812341081866</v>
      </c>
      <c r="Q27">
        <v>3</v>
      </c>
      <c r="R27">
        <v>30</v>
      </c>
      <c r="S27" t="s">
        <v>14</v>
      </c>
      <c r="T27">
        <v>0.34255940000000001</v>
      </c>
      <c r="U27">
        <v>57.4</v>
      </c>
      <c r="V27">
        <v>4</v>
      </c>
      <c r="W27">
        <v>0.16443686021343873</v>
      </c>
      <c r="X27">
        <v>77.843686021343871</v>
      </c>
    </row>
    <row r="28" spans="1:24" x14ac:dyDescent="0.2">
      <c r="A28">
        <v>3</v>
      </c>
      <c r="B28">
        <v>30</v>
      </c>
      <c r="C28" t="s">
        <v>5</v>
      </c>
      <c r="D28">
        <v>0.3749479</v>
      </c>
      <c r="E28">
        <v>53.999999999999993</v>
      </c>
      <c r="F28">
        <v>21</v>
      </c>
      <c r="G28">
        <v>0.17053833060089665</v>
      </c>
      <c r="H28">
        <v>92.053833060089659</v>
      </c>
      <c r="I28">
        <v>3</v>
      </c>
      <c r="J28">
        <v>30</v>
      </c>
      <c r="K28" t="s">
        <v>12</v>
      </c>
      <c r="L28">
        <v>0.61472780000000005</v>
      </c>
      <c r="M28">
        <v>56.8</v>
      </c>
      <c r="N28">
        <v>5</v>
      </c>
      <c r="O28">
        <v>0.16524812341081874</v>
      </c>
      <c r="P28">
        <v>78.324812341081866</v>
      </c>
      <c r="Q28">
        <v>3</v>
      </c>
      <c r="R28">
        <v>30</v>
      </c>
      <c r="S28" t="s">
        <v>14</v>
      </c>
      <c r="T28">
        <v>0.34958539999999999</v>
      </c>
      <c r="U28">
        <v>57.4</v>
      </c>
      <c r="V28">
        <v>2</v>
      </c>
      <c r="W28">
        <v>0.16443686021343873</v>
      </c>
      <c r="X28">
        <v>75.843686021343871</v>
      </c>
    </row>
    <row r="29" spans="1:24" x14ac:dyDescent="0.2">
      <c r="A29">
        <v>3</v>
      </c>
      <c r="B29">
        <v>30</v>
      </c>
      <c r="C29" t="s">
        <v>5</v>
      </c>
      <c r="D29">
        <v>0.38360670000000002</v>
      </c>
      <c r="E29">
        <v>55.8</v>
      </c>
      <c r="F29">
        <v>20</v>
      </c>
      <c r="G29">
        <v>0.16782264622097726</v>
      </c>
      <c r="H29">
        <v>92.582264622097725</v>
      </c>
      <c r="I29">
        <v>3</v>
      </c>
      <c r="J29">
        <v>30</v>
      </c>
      <c r="K29" t="s">
        <v>12</v>
      </c>
      <c r="L29">
        <v>0.61915589999999998</v>
      </c>
      <c r="M29">
        <v>56.8</v>
      </c>
      <c r="N29">
        <v>4</v>
      </c>
      <c r="O29">
        <v>0.16524812341081874</v>
      </c>
      <c r="P29">
        <v>77.324812341081866</v>
      </c>
      <c r="Q29">
        <v>3</v>
      </c>
      <c r="R29">
        <v>30</v>
      </c>
      <c r="S29" t="s">
        <v>14</v>
      </c>
      <c r="T29">
        <v>0.35146070000000001</v>
      </c>
      <c r="U29">
        <v>57.4</v>
      </c>
      <c r="V29">
        <v>3</v>
      </c>
      <c r="W29">
        <v>0.16443686021343873</v>
      </c>
      <c r="X29">
        <v>76.843686021343871</v>
      </c>
    </row>
    <row r="30" spans="1:24" x14ac:dyDescent="0.2">
      <c r="A30">
        <v>3</v>
      </c>
      <c r="B30">
        <v>30</v>
      </c>
      <c r="C30" t="s">
        <v>5</v>
      </c>
      <c r="D30">
        <v>0.38787450000000001</v>
      </c>
      <c r="E30">
        <v>55.999999999999993</v>
      </c>
      <c r="F30">
        <v>19</v>
      </c>
      <c r="G30">
        <v>0.16874398457147607</v>
      </c>
      <c r="H30">
        <v>91.874398457147606</v>
      </c>
      <c r="I30">
        <v>3</v>
      </c>
      <c r="J30">
        <v>30</v>
      </c>
      <c r="K30" t="s">
        <v>12</v>
      </c>
      <c r="L30">
        <v>0.6122379</v>
      </c>
      <c r="M30">
        <v>57.4</v>
      </c>
      <c r="N30">
        <v>4</v>
      </c>
      <c r="O30">
        <v>0.16443686021343873</v>
      </c>
      <c r="P30">
        <v>77.843686021343871</v>
      </c>
      <c r="Q30">
        <v>3</v>
      </c>
      <c r="R30">
        <v>30</v>
      </c>
      <c r="S30" t="s">
        <v>14</v>
      </c>
      <c r="T30">
        <v>0.34483140000000001</v>
      </c>
      <c r="U30">
        <v>58</v>
      </c>
      <c r="V30">
        <v>1</v>
      </c>
      <c r="W30">
        <v>0.16363480559554011</v>
      </c>
      <c r="X30">
        <v>75.363480559554006</v>
      </c>
    </row>
    <row r="31" spans="1:24" x14ac:dyDescent="0.2">
      <c r="A31">
        <v>3</v>
      </c>
      <c r="B31">
        <v>30</v>
      </c>
      <c r="C31" t="s">
        <v>5</v>
      </c>
      <c r="D31">
        <v>0.37359920000000002</v>
      </c>
      <c r="E31">
        <v>55.199999999999996</v>
      </c>
      <c r="F31">
        <v>19</v>
      </c>
      <c r="G31">
        <v>0.16874398457147607</v>
      </c>
      <c r="H31">
        <v>91.074398457147595</v>
      </c>
      <c r="I31">
        <v>3</v>
      </c>
      <c r="J31">
        <v>30</v>
      </c>
      <c r="K31" t="s">
        <v>12</v>
      </c>
      <c r="L31">
        <v>0.62615699999999996</v>
      </c>
      <c r="M31">
        <v>56.8</v>
      </c>
      <c r="N31">
        <v>4</v>
      </c>
      <c r="O31">
        <v>0.16524812341081874</v>
      </c>
      <c r="P31">
        <v>77.324812341081866</v>
      </c>
      <c r="Q31">
        <v>3</v>
      </c>
      <c r="R31">
        <v>30</v>
      </c>
      <c r="S31" t="s">
        <v>14</v>
      </c>
      <c r="T31">
        <v>0.3556358</v>
      </c>
      <c r="U31">
        <v>58</v>
      </c>
      <c r="V31">
        <v>2</v>
      </c>
      <c r="W31">
        <v>0.16363480559554011</v>
      </c>
      <c r="X31">
        <v>76.363480559554006</v>
      </c>
    </row>
    <row r="33" spans="3:24" x14ac:dyDescent="0.2">
      <c r="C33" t="s">
        <v>222</v>
      </c>
      <c r="D33" t="s">
        <v>224</v>
      </c>
      <c r="E33" t="s">
        <v>224</v>
      </c>
      <c r="F33" t="s">
        <v>224</v>
      </c>
      <c r="G33" t="s">
        <v>224</v>
      </c>
      <c r="H33" t="s">
        <v>224</v>
      </c>
      <c r="K33" t="s">
        <v>231</v>
      </c>
      <c r="L33" t="s">
        <v>224</v>
      </c>
      <c r="M33" t="s">
        <v>224</v>
      </c>
      <c r="N33" t="s">
        <v>224</v>
      </c>
      <c r="O33" t="s">
        <v>224</v>
      </c>
      <c r="P33" t="s">
        <v>224</v>
      </c>
      <c r="S33" t="s">
        <v>232</v>
      </c>
      <c r="T33" t="s">
        <v>224</v>
      </c>
      <c r="U33" t="s">
        <v>224</v>
      </c>
      <c r="V33" t="s">
        <v>224</v>
      </c>
      <c r="W33" t="s">
        <v>224</v>
      </c>
      <c r="X33" t="s">
        <v>224</v>
      </c>
    </row>
    <row r="34" spans="3:24" x14ac:dyDescent="0.2">
      <c r="D34">
        <f>MAX(D1:D31)</f>
        <v>0.46482440000000003</v>
      </c>
      <c r="E34">
        <f>MAX(E1:E31)</f>
        <v>57.199999999999996</v>
      </c>
      <c r="F34">
        <f>MAX(F1:F31)</f>
        <v>25</v>
      </c>
      <c r="G34">
        <f>MAX(G1:G31)</f>
        <v>0.17510348858216454</v>
      </c>
      <c r="H34">
        <f>MAX(H1:H31)</f>
        <v>95.510348858216446</v>
      </c>
      <c r="L34">
        <f>MAX(L1:L31)</f>
        <v>0.68171700000000002</v>
      </c>
      <c r="M34">
        <f>MAX(M1:M31)</f>
        <v>57.4</v>
      </c>
      <c r="N34">
        <f>MAX(N1:N31)</f>
        <v>8</v>
      </c>
      <c r="O34">
        <f>MAX(O1:O31)</f>
        <v>0.16693076376293794</v>
      </c>
      <c r="P34">
        <f>MAX(P1:P31)</f>
        <v>80.293076376293797</v>
      </c>
      <c r="T34">
        <f>MAX(T1:T31)</f>
        <v>0.39993050000000002</v>
      </c>
      <c r="U34">
        <f>MAX(U1:U31)</f>
        <v>58</v>
      </c>
      <c r="V34">
        <f>MAX(V1:V31)</f>
        <v>4</v>
      </c>
      <c r="W34">
        <f>MAX(W1:W31)</f>
        <v>0.16524812341081874</v>
      </c>
      <c r="X34">
        <f>MAX(X1:X31)</f>
        <v>77.843686021343871</v>
      </c>
    </row>
    <row r="35" spans="3:24" x14ac:dyDescent="0.2">
      <c r="D35" t="s">
        <v>226</v>
      </c>
      <c r="E35" t="s">
        <v>226</v>
      </c>
      <c r="F35" t="s">
        <v>226</v>
      </c>
      <c r="G35" t="s">
        <v>226</v>
      </c>
      <c r="H35" t="s">
        <v>226</v>
      </c>
      <c r="L35" t="s">
        <v>226</v>
      </c>
      <c r="M35" t="s">
        <v>226</v>
      </c>
      <c r="N35" t="s">
        <v>226</v>
      </c>
      <c r="O35" t="s">
        <v>226</v>
      </c>
      <c r="P35" t="s">
        <v>226</v>
      </c>
      <c r="T35" t="s">
        <v>226</v>
      </c>
      <c r="U35" t="s">
        <v>226</v>
      </c>
      <c r="V35" t="s">
        <v>226</v>
      </c>
      <c r="W35" t="s">
        <v>226</v>
      </c>
      <c r="X35" t="s">
        <v>226</v>
      </c>
    </row>
    <row r="36" spans="3:24" x14ac:dyDescent="0.2">
      <c r="D36">
        <f>MIN(D1:D31)</f>
        <v>0.37270130000000001</v>
      </c>
      <c r="E36">
        <f>MIN(E1:E31)</f>
        <v>51.999999999999993</v>
      </c>
      <c r="F36">
        <f>MIN(F1:F31)</f>
        <v>11</v>
      </c>
      <c r="G36">
        <f>MIN(G1:G31)</f>
        <v>0.16607578023887712</v>
      </c>
      <c r="H36">
        <f>MIN(H1:H31)</f>
        <v>84.607578023887712</v>
      </c>
      <c r="L36">
        <f>MIN(L1:L31)</f>
        <v>0.60752349999999999</v>
      </c>
      <c r="M36">
        <f>MIN(M1:M31)</f>
        <v>55.6</v>
      </c>
      <c r="N36">
        <f>MIN(N1:N31)</f>
        <v>4</v>
      </c>
      <c r="O36">
        <f>MIN(O1:O31)</f>
        <v>0.16443686021343873</v>
      </c>
      <c r="P36">
        <f>MIN(P1:P31)</f>
        <v>77.324812341081866</v>
      </c>
      <c r="T36">
        <f>MIN(T1:T31)</f>
        <v>0.33855760000000001</v>
      </c>
      <c r="U36">
        <f>MIN(U1:U31)</f>
        <v>56.8</v>
      </c>
      <c r="V36">
        <f>MIN(V1:V31)</f>
        <v>1</v>
      </c>
      <c r="W36">
        <f>MIN(W1:W31)</f>
        <v>0.16363480559554011</v>
      </c>
      <c r="X36">
        <f>MIN(X1:X31)</f>
        <v>75.363480559554006</v>
      </c>
    </row>
    <row r="37" spans="3:24" x14ac:dyDescent="0.2">
      <c r="D37" t="s">
        <v>228</v>
      </c>
      <c r="E37" t="s">
        <v>228</v>
      </c>
      <c r="F37" t="s">
        <v>228</v>
      </c>
      <c r="G37" t="s">
        <v>228</v>
      </c>
      <c r="H37" t="s">
        <v>228</v>
      </c>
      <c r="L37" t="s">
        <v>228</v>
      </c>
      <c r="M37" t="s">
        <v>228</v>
      </c>
      <c r="N37" t="s">
        <v>228</v>
      </c>
      <c r="O37" t="s">
        <v>228</v>
      </c>
      <c r="P37" t="s">
        <v>228</v>
      </c>
      <c r="T37" t="s">
        <v>228</v>
      </c>
      <c r="U37" t="s">
        <v>228</v>
      </c>
      <c r="V37" t="s">
        <v>228</v>
      </c>
      <c r="W37" t="s">
        <v>228</v>
      </c>
      <c r="X37" t="s">
        <v>228</v>
      </c>
    </row>
    <row r="38" spans="3:24" x14ac:dyDescent="0.2">
      <c r="D38">
        <f>AVERAGE(D1:D31)</f>
        <v>0.40631311333333342</v>
      </c>
      <c r="E38">
        <f>AVERAGE(E1:E31)</f>
        <v>54.766666666666673</v>
      </c>
      <c r="F38">
        <f>AVERAGE(F1:F31)</f>
        <v>19</v>
      </c>
      <c r="G38">
        <f>AVERAGE(G1:G31)</f>
        <v>0.1696042145237395</v>
      </c>
      <c r="H38">
        <f>AVERAGE(H1:H31)</f>
        <v>90.727088119040616</v>
      </c>
      <c r="L38">
        <f>AVERAGE(L1:L31)</f>
        <v>0.64246075999999996</v>
      </c>
      <c r="M38">
        <f>AVERAGE(M1:M31)</f>
        <v>56.96</v>
      </c>
      <c r="N38">
        <f>AVERAGE(N1:N31)</f>
        <v>4.833333333333333</v>
      </c>
      <c r="O38">
        <f>AVERAGE(O1:O31)</f>
        <v>0.1650348832654745</v>
      </c>
      <c r="P38">
        <f>AVERAGE(P1:P31)</f>
        <v>78.296821659880806</v>
      </c>
      <c r="T38">
        <f>AVERAGE(T1:T31)</f>
        <v>0.36718963000000004</v>
      </c>
      <c r="U38">
        <f>AVERAGE(U1:U31)</f>
        <v>57.600000000000023</v>
      </c>
      <c r="V38">
        <f>AVERAGE(V1:V31)</f>
        <v>2.2000000000000002</v>
      </c>
      <c r="W38">
        <f>AVERAGE(W1:W31)</f>
        <v>0.16416981562678851</v>
      </c>
      <c r="X38">
        <f>AVERAGE(X1:X31)</f>
        <v>76.216981562678868</v>
      </c>
    </row>
    <row r="39" spans="3:24" x14ac:dyDescent="0.2">
      <c r="D39" t="s">
        <v>230</v>
      </c>
      <c r="E39" t="s">
        <v>230</v>
      </c>
      <c r="F39" t="s">
        <v>230</v>
      </c>
      <c r="G39" t="s">
        <v>230</v>
      </c>
      <c r="H39" t="s">
        <v>230</v>
      </c>
      <c r="L39" t="s">
        <v>230</v>
      </c>
      <c r="M39" t="s">
        <v>230</v>
      </c>
      <c r="N39" t="s">
        <v>230</v>
      </c>
      <c r="O39" t="s">
        <v>230</v>
      </c>
      <c r="P39" t="s">
        <v>230</v>
      </c>
      <c r="T39" t="s">
        <v>230</v>
      </c>
      <c r="U39" t="s">
        <v>230</v>
      </c>
      <c r="V39" t="s">
        <v>230</v>
      </c>
      <c r="W39" t="s">
        <v>230</v>
      </c>
      <c r="X39" t="s">
        <v>230</v>
      </c>
    </row>
    <row r="40" spans="3:24" x14ac:dyDescent="0.2">
      <c r="D40">
        <f>STDEV(D1:D31)</f>
        <v>2.7097806965849406E-2</v>
      </c>
      <c r="E40">
        <f>STDEV(E1:E31)</f>
        <v>1.1698315037330973</v>
      </c>
      <c r="F40">
        <f>STDEV(F1:F31)</f>
        <v>2.7667982242644844</v>
      </c>
      <c r="G40">
        <f>STDEV(G1:G31)</f>
        <v>1.9678173286358249E-3</v>
      </c>
      <c r="H40">
        <f>STDEV(H1:H31)</f>
        <v>2.4049997529449043</v>
      </c>
      <c r="L40">
        <f>STDEV(L1:L31)</f>
        <v>1.9874795825081813E-2</v>
      </c>
      <c r="M40">
        <f>STDEV(M1:M31)</f>
        <v>0.44380797338644035</v>
      </c>
      <c r="N40">
        <f>STDEV(N1:N31)</f>
        <v>1.0531834608931387</v>
      </c>
      <c r="O40">
        <f>STDEV(O1:O31)</f>
        <v>6.0841640465455007E-4</v>
      </c>
      <c r="P40">
        <f>STDEV(P1:P31)</f>
        <v>0.83482386349000548</v>
      </c>
      <c r="T40">
        <f>STDEV(T1:T31)</f>
        <v>1.7433628259361868E-2</v>
      </c>
      <c r="U40">
        <f>STDEV(U1:U31)</f>
        <v>0.3280033641543213</v>
      </c>
      <c r="V40">
        <f>STDEV(V1:V31)</f>
        <v>0.9247553264475441</v>
      </c>
      <c r="W40">
        <f>STDEV(W1:W31)</f>
        <v>4.3923802943930825E-4</v>
      </c>
      <c r="X40">
        <f>STDEV(X1:X31)</f>
        <v>0.71120552608605891</v>
      </c>
    </row>
  </sheetData>
  <sortState xmlns:xlrd2="http://schemas.microsoft.com/office/spreadsheetml/2017/richdata2" ref="A2:H91">
    <sortCondition ref="C43:C9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6843-6D23-4671-B2A2-E4BE980E0D9C}">
  <dimension ref="A1:X105"/>
  <sheetViews>
    <sheetView tabSelected="1" topLeftCell="A55" zoomScaleNormal="100" workbookViewId="0">
      <selection activeCell="G109" sqref="G109"/>
    </sheetView>
  </sheetViews>
  <sheetFormatPr defaultRowHeight="14.25" x14ac:dyDescent="0.2"/>
  <sheetData>
    <row r="1" spans="1:24" x14ac:dyDescent="0.2">
      <c r="A1" t="s">
        <v>220</v>
      </c>
      <c r="B1" t="s">
        <v>3</v>
      </c>
      <c r="C1" t="s">
        <v>221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220</v>
      </c>
      <c r="J1" t="s">
        <v>3</v>
      </c>
      <c r="K1" t="s">
        <v>221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220</v>
      </c>
      <c r="R1" t="s">
        <v>3</v>
      </c>
      <c r="S1" t="s">
        <v>221</v>
      </c>
      <c r="T1" t="s">
        <v>6</v>
      </c>
      <c r="U1" t="s">
        <v>7</v>
      </c>
      <c r="V1" t="s">
        <v>8</v>
      </c>
      <c r="W1" t="s">
        <v>9</v>
      </c>
      <c r="X1" t="s">
        <v>10</v>
      </c>
    </row>
    <row r="2" spans="1:24" x14ac:dyDescent="0.2">
      <c r="A2" t="s">
        <v>234</v>
      </c>
      <c r="C2" t="s">
        <v>5</v>
      </c>
      <c r="D2" t="s">
        <v>223</v>
      </c>
      <c r="E2" t="s">
        <v>223</v>
      </c>
      <c r="F2" t="s">
        <v>223</v>
      </c>
      <c r="G2" t="s">
        <v>223</v>
      </c>
      <c r="H2" t="s">
        <v>223</v>
      </c>
      <c r="K2" t="s">
        <v>12</v>
      </c>
      <c r="L2" t="s">
        <v>223</v>
      </c>
      <c r="M2" t="s">
        <v>223</v>
      </c>
      <c r="N2" t="s">
        <v>223</v>
      </c>
      <c r="O2" t="s">
        <v>223</v>
      </c>
      <c r="P2" t="s">
        <v>223</v>
      </c>
      <c r="S2" t="s">
        <v>14</v>
      </c>
      <c r="T2" t="s">
        <v>223</v>
      </c>
      <c r="U2" t="s">
        <v>223</v>
      </c>
      <c r="V2" t="s">
        <v>223</v>
      </c>
      <c r="W2" t="s">
        <v>223</v>
      </c>
      <c r="X2" t="s">
        <v>223</v>
      </c>
    </row>
    <row r="3" spans="1:24" x14ac:dyDescent="0.2">
      <c r="D3">
        <v>0.33357550000000002</v>
      </c>
      <c r="E3">
        <v>36.4</v>
      </c>
      <c r="F3">
        <v>17</v>
      </c>
      <c r="G3">
        <v>0.25794332381556018</v>
      </c>
      <c r="H3">
        <v>73.836518859153145</v>
      </c>
      <c r="L3">
        <v>0.4775643</v>
      </c>
      <c r="M3">
        <v>33.399999999999991</v>
      </c>
      <c r="N3">
        <v>11</v>
      </c>
      <c r="O3">
        <v>0.2536752734581047</v>
      </c>
      <c r="P3">
        <v>66.567527345810461</v>
      </c>
      <c r="T3">
        <v>0.31365520000000002</v>
      </c>
      <c r="U3">
        <v>34.399999999999991</v>
      </c>
      <c r="V3">
        <v>11</v>
      </c>
      <c r="W3">
        <v>0.25436518859153151</v>
      </c>
      <c r="X3">
        <v>67.330185843997924</v>
      </c>
    </row>
    <row r="4" spans="1:24" x14ac:dyDescent="0.2">
      <c r="D4" t="s">
        <v>225</v>
      </c>
      <c r="E4" t="s">
        <v>225</v>
      </c>
      <c r="F4" t="s">
        <v>225</v>
      </c>
      <c r="G4" t="s">
        <v>225</v>
      </c>
      <c r="H4" t="s">
        <v>225</v>
      </c>
      <c r="L4" t="s">
        <v>225</v>
      </c>
      <c r="M4" t="s">
        <v>225</v>
      </c>
      <c r="N4" t="s">
        <v>225</v>
      </c>
      <c r="O4" t="s">
        <v>225</v>
      </c>
      <c r="P4" t="s">
        <v>225</v>
      </c>
      <c r="T4" t="s">
        <v>225</v>
      </c>
      <c r="U4" t="s">
        <v>225</v>
      </c>
      <c r="V4" t="s">
        <v>225</v>
      </c>
      <c r="W4" t="s">
        <v>225</v>
      </c>
      <c r="X4" t="s">
        <v>225</v>
      </c>
    </row>
    <row r="5" spans="1:24" x14ac:dyDescent="0.2">
      <c r="D5">
        <v>0.23963570000000001</v>
      </c>
      <c r="E5">
        <v>32.599999999999994</v>
      </c>
      <c r="F5">
        <v>11</v>
      </c>
      <c r="G5">
        <v>0.22930185843997941</v>
      </c>
      <c r="H5">
        <v>66.530185843997941</v>
      </c>
      <c r="L5">
        <v>0.38256669999999998</v>
      </c>
      <c r="M5">
        <v>32.599999999999994</v>
      </c>
      <c r="N5">
        <v>8</v>
      </c>
      <c r="O5">
        <v>0.22930185843997941</v>
      </c>
      <c r="P5">
        <v>63.530185843997934</v>
      </c>
      <c r="T5">
        <v>0.26231480000000001</v>
      </c>
      <c r="U5">
        <v>32.599999999999994</v>
      </c>
      <c r="V5">
        <v>5</v>
      </c>
      <c r="W5">
        <v>0.22930185843997941</v>
      </c>
      <c r="X5">
        <v>63.530185843997934</v>
      </c>
    </row>
    <row r="6" spans="1:24" x14ac:dyDescent="0.2">
      <c r="D6" t="s">
        <v>227</v>
      </c>
      <c r="E6" t="s">
        <v>227</v>
      </c>
      <c r="F6" t="s">
        <v>227</v>
      </c>
      <c r="G6" t="s">
        <v>227</v>
      </c>
      <c r="H6" t="s">
        <v>227</v>
      </c>
      <c r="L6" t="s">
        <v>227</v>
      </c>
      <c r="M6" t="s">
        <v>227</v>
      </c>
      <c r="N6" t="s">
        <v>227</v>
      </c>
      <c r="O6" t="s">
        <v>227</v>
      </c>
      <c r="P6" t="s">
        <v>227</v>
      </c>
      <c r="T6" t="s">
        <v>227</v>
      </c>
      <c r="U6" t="s">
        <v>227</v>
      </c>
      <c r="V6" t="s">
        <v>227</v>
      </c>
      <c r="W6" t="s">
        <v>227</v>
      </c>
      <c r="X6" t="s">
        <v>227</v>
      </c>
    </row>
    <row r="7" spans="1:24" x14ac:dyDescent="0.2">
      <c r="D7">
        <v>0.26031144666666667</v>
      </c>
      <c r="E7">
        <v>33.753333333333337</v>
      </c>
      <c r="F7">
        <v>13.266666666666667</v>
      </c>
      <c r="G7">
        <v>0.24427417681148397</v>
      </c>
      <c r="H7">
        <v>71.447417681148394</v>
      </c>
      <c r="L7">
        <v>0.42044947333333332</v>
      </c>
      <c r="M7">
        <v>32.95333333333334</v>
      </c>
      <c r="N7">
        <v>8.3666666666666671</v>
      </c>
      <c r="O7">
        <v>0.24148856594904192</v>
      </c>
      <c r="P7">
        <v>65.468856594904224</v>
      </c>
      <c r="T7">
        <v>0.28439477333333341</v>
      </c>
      <c r="U7">
        <v>32.686666666666682</v>
      </c>
      <c r="V7">
        <v>8.9666666666666668</v>
      </c>
      <c r="W7">
        <v>0.23013730277836439</v>
      </c>
      <c r="X7">
        <v>64.667063611169795</v>
      </c>
    </row>
    <row r="8" spans="1:24" x14ac:dyDescent="0.2">
      <c r="D8" t="s">
        <v>229</v>
      </c>
      <c r="E8" t="s">
        <v>229</v>
      </c>
      <c r="F8" t="s">
        <v>229</v>
      </c>
      <c r="G8" t="s">
        <v>229</v>
      </c>
      <c r="H8" t="s">
        <v>229</v>
      </c>
      <c r="L8" t="s">
        <v>229</v>
      </c>
      <c r="M8" t="s">
        <v>229</v>
      </c>
      <c r="N8" t="s">
        <v>229</v>
      </c>
      <c r="O8" t="s">
        <v>229</v>
      </c>
      <c r="P8" t="s">
        <v>229</v>
      </c>
      <c r="T8" t="s">
        <v>229</v>
      </c>
      <c r="U8" t="s">
        <v>229</v>
      </c>
      <c r="V8" t="s">
        <v>229</v>
      </c>
      <c r="W8" t="s">
        <v>229</v>
      </c>
      <c r="X8" t="s">
        <v>229</v>
      </c>
    </row>
    <row r="9" spans="1:24" x14ac:dyDescent="0.2">
      <c r="D9">
        <v>2.2259021391224477E-2</v>
      </c>
      <c r="E9">
        <v>1.1199548430962354</v>
      </c>
      <c r="F9">
        <v>1.8925139881655573</v>
      </c>
      <c r="G9">
        <v>1.1745221473957623E-2</v>
      </c>
      <c r="H9">
        <v>1.6042529922008568</v>
      </c>
      <c r="L9">
        <v>2.0012628785722443E-2</v>
      </c>
      <c r="M9">
        <v>0.31811224795479154</v>
      </c>
      <c r="N9">
        <v>0.7183954022841379</v>
      </c>
      <c r="O9">
        <v>1.2395042386795584E-2</v>
      </c>
      <c r="P9">
        <v>1.2799289119121229</v>
      </c>
      <c r="T9">
        <v>1.3408509005052532E-2</v>
      </c>
      <c r="U9">
        <v>0.35499716689819738</v>
      </c>
      <c r="V9">
        <v>1.0333518722845689</v>
      </c>
      <c r="W9">
        <v>4.5759170967348212E-3</v>
      </c>
      <c r="X9">
        <v>0.79593307251551393</v>
      </c>
    </row>
    <row r="11" spans="1:24" x14ac:dyDescent="0.2">
      <c r="A11" t="s">
        <v>235</v>
      </c>
      <c r="C11" t="s">
        <v>5</v>
      </c>
      <c r="D11" t="s">
        <v>223</v>
      </c>
      <c r="E11" t="s">
        <v>223</v>
      </c>
      <c r="F11" t="s">
        <v>223</v>
      </c>
      <c r="G11" t="s">
        <v>223</v>
      </c>
      <c r="H11" t="s">
        <v>223</v>
      </c>
      <c r="K11" t="s">
        <v>12</v>
      </c>
      <c r="L11" t="s">
        <v>223</v>
      </c>
      <c r="M11" t="s">
        <v>223</v>
      </c>
      <c r="N11" t="s">
        <v>223</v>
      </c>
      <c r="O11" t="s">
        <v>223</v>
      </c>
      <c r="P11" t="s">
        <v>223</v>
      </c>
      <c r="S11" t="s">
        <v>14</v>
      </c>
      <c r="T11" t="s">
        <v>223</v>
      </c>
      <c r="U11" t="s">
        <v>223</v>
      </c>
      <c r="V11" t="s">
        <v>223</v>
      </c>
      <c r="W11" t="s">
        <v>223</v>
      </c>
      <c r="X11" t="s">
        <v>223</v>
      </c>
    </row>
    <row r="12" spans="1:24" x14ac:dyDescent="0.2">
      <c r="D12">
        <v>0.40075450000000001</v>
      </c>
      <c r="E12">
        <v>59.399999999999991</v>
      </c>
      <c r="F12">
        <v>31</v>
      </c>
      <c r="G12">
        <v>0.17510348858216454</v>
      </c>
      <c r="H12">
        <v>102.4743984571476</v>
      </c>
      <c r="L12">
        <v>0.69723760000000001</v>
      </c>
      <c r="M12">
        <v>56.199999999999982</v>
      </c>
      <c r="N12">
        <v>22</v>
      </c>
      <c r="O12">
        <v>0.17360739953810886</v>
      </c>
      <c r="P12">
        <v>92.653833060089653</v>
      </c>
      <c r="T12">
        <v>0.46535700000000002</v>
      </c>
      <c r="U12">
        <v>53.79999999999999</v>
      </c>
      <c r="V12">
        <v>15</v>
      </c>
      <c r="W12">
        <v>0.17510348858216454</v>
      </c>
      <c r="X12">
        <v>84.710348858216435</v>
      </c>
    </row>
    <row r="13" spans="1:24" x14ac:dyDescent="0.2">
      <c r="D13" t="s">
        <v>225</v>
      </c>
      <c r="E13" t="s">
        <v>225</v>
      </c>
      <c r="F13" t="s">
        <v>225</v>
      </c>
      <c r="G13" t="s">
        <v>225</v>
      </c>
      <c r="H13" t="s">
        <v>225</v>
      </c>
      <c r="L13" t="s">
        <v>225</v>
      </c>
      <c r="M13" t="s">
        <v>225</v>
      </c>
      <c r="N13" t="s">
        <v>225</v>
      </c>
      <c r="O13" t="s">
        <v>225</v>
      </c>
      <c r="P13" t="s">
        <v>225</v>
      </c>
      <c r="T13" t="s">
        <v>225</v>
      </c>
      <c r="U13" t="s">
        <v>225</v>
      </c>
      <c r="V13" t="s">
        <v>225</v>
      </c>
      <c r="W13" t="s">
        <v>225</v>
      </c>
      <c r="X13" t="s">
        <v>225</v>
      </c>
    </row>
    <row r="14" spans="1:24" x14ac:dyDescent="0.2">
      <c r="D14">
        <v>0.36827520000000002</v>
      </c>
      <c r="E14">
        <v>51.799999999999983</v>
      </c>
      <c r="F14">
        <v>22</v>
      </c>
      <c r="G14">
        <v>0.16607578023887712</v>
      </c>
      <c r="H14">
        <v>94.858113632261166</v>
      </c>
      <c r="L14">
        <v>0.63955510000000004</v>
      </c>
      <c r="M14">
        <v>51.999999999999986</v>
      </c>
      <c r="N14">
        <v>16</v>
      </c>
      <c r="O14">
        <v>0.16874398457147607</v>
      </c>
      <c r="P14">
        <v>87.853833060089642</v>
      </c>
      <c r="T14">
        <v>0.40239659999999999</v>
      </c>
      <c r="U14">
        <v>50.199999999999989</v>
      </c>
      <c r="V14">
        <v>9</v>
      </c>
      <c r="W14">
        <v>0.16963791265880057</v>
      </c>
      <c r="X14">
        <v>79.165650643722785</v>
      </c>
    </row>
    <row r="15" spans="1:24" x14ac:dyDescent="0.2">
      <c r="D15" t="s">
        <v>227</v>
      </c>
      <c r="E15" t="s">
        <v>227</v>
      </c>
      <c r="F15" t="s">
        <v>227</v>
      </c>
      <c r="G15" t="s">
        <v>227</v>
      </c>
      <c r="H15" t="s">
        <v>227</v>
      </c>
      <c r="L15" t="s">
        <v>227</v>
      </c>
      <c r="M15" t="s">
        <v>227</v>
      </c>
      <c r="N15" t="s">
        <v>227</v>
      </c>
      <c r="O15" t="s">
        <v>227</v>
      </c>
      <c r="P15" t="s">
        <v>227</v>
      </c>
      <c r="T15" t="s">
        <v>227</v>
      </c>
      <c r="U15" t="s">
        <v>227</v>
      </c>
      <c r="V15" t="s">
        <v>227</v>
      </c>
      <c r="W15" t="s">
        <v>227</v>
      </c>
      <c r="X15" t="s">
        <v>227</v>
      </c>
    </row>
    <row r="16" spans="1:24" x14ac:dyDescent="0.2">
      <c r="D16">
        <v>0.38237831999999999</v>
      </c>
      <c r="E16">
        <v>54.999999999999993</v>
      </c>
      <c r="F16">
        <v>26.7</v>
      </c>
      <c r="G16">
        <v>0.17132638284961374</v>
      </c>
      <c r="H16">
        <v>98.832638284961376</v>
      </c>
      <c r="L16">
        <v>0.6638731133333331</v>
      </c>
      <c r="M16">
        <v>55.146666666666668</v>
      </c>
      <c r="N16">
        <v>18.100000000000001</v>
      </c>
      <c r="O16">
        <v>0.1699950228929252</v>
      </c>
      <c r="P16">
        <v>90.246168955959163</v>
      </c>
      <c r="T16">
        <v>0.4351456766666667</v>
      </c>
      <c r="U16">
        <v>51.593333333333348</v>
      </c>
      <c r="V16">
        <v>12.766666666666667</v>
      </c>
      <c r="W16">
        <v>0.17247005649380354</v>
      </c>
      <c r="X16">
        <v>81.607005649380341</v>
      </c>
    </row>
    <row r="17" spans="1:24" x14ac:dyDescent="0.2">
      <c r="D17" t="s">
        <v>229</v>
      </c>
      <c r="E17" t="s">
        <v>229</v>
      </c>
      <c r="F17" t="s">
        <v>229</v>
      </c>
      <c r="G17" t="s">
        <v>229</v>
      </c>
      <c r="H17" t="s">
        <v>229</v>
      </c>
      <c r="L17" t="s">
        <v>229</v>
      </c>
      <c r="M17" t="s">
        <v>229</v>
      </c>
      <c r="N17" t="s">
        <v>229</v>
      </c>
      <c r="O17" t="s">
        <v>229</v>
      </c>
      <c r="P17" t="s">
        <v>229</v>
      </c>
      <c r="T17" t="s">
        <v>229</v>
      </c>
      <c r="U17" t="s">
        <v>229</v>
      </c>
      <c r="V17" t="s">
        <v>229</v>
      </c>
      <c r="W17" t="s">
        <v>229</v>
      </c>
      <c r="X17" t="s">
        <v>229</v>
      </c>
    </row>
    <row r="18" spans="1:24" x14ac:dyDescent="0.2">
      <c r="D18">
        <v>8.1398583477635036E-3</v>
      </c>
      <c r="E18">
        <v>1.8871617075239819</v>
      </c>
      <c r="F18">
        <v>1.9852907369815707</v>
      </c>
      <c r="G18">
        <v>2.4392884237658895E-3</v>
      </c>
      <c r="H18">
        <v>1.9991257743544042</v>
      </c>
      <c r="L18">
        <v>1.3947446528029058E-2</v>
      </c>
      <c r="M18">
        <v>0.8418916849544249</v>
      </c>
      <c r="N18">
        <v>1.446756181350493</v>
      </c>
      <c r="O18">
        <v>9.7084814734828197E-4</v>
      </c>
      <c r="P18">
        <v>1.1531924431010414</v>
      </c>
      <c r="T18">
        <v>1.4303582578782751E-2</v>
      </c>
      <c r="U18">
        <v>0.9930563526508609</v>
      </c>
      <c r="V18">
        <v>1.4546793303071961</v>
      </c>
      <c r="W18">
        <v>2.4349971566130254E-3</v>
      </c>
      <c r="X18">
        <v>1.5217848214090055</v>
      </c>
    </row>
    <row r="20" spans="1:24" x14ac:dyDescent="0.2">
      <c r="A20" t="s">
        <v>236</v>
      </c>
      <c r="C20" t="s">
        <v>5</v>
      </c>
      <c r="D20" t="s">
        <v>223</v>
      </c>
      <c r="E20" t="s">
        <v>223</v>
      </c>
      <c r="F20" t="s">
        <v>223</v>
      </c>
      <c r="G20" t="s">
        <v>223</v>
      </c>
      <c r="H20" t="s">
        <v>223</v>
      </c>
      <c r="K20" t="s">
        <v>12</v>
      </c>
      <c r="L20" t="s">
        <v>223</v>
      </c>
      <c r="M20" t="s">
        <v>223</v>
      </c>
      <c r="N20" t="s">
        <v>223</v>
      </c>
      <c r="O20" t="s">
        <v>223</v>
      </c>
      <c r="P20" t="s">
        <v>223</v>
      </c>
      <c r="S20" t="s">
        <v>14</v>
      </c>
      <c r="T20" t="s">
        <v>223</v>
      </c>
      <c r="U20" t="s">
        <v>223</v>
      </c>
      <c r="V20" t="s">
        <v>223</v>
      </c>
      <c r="W20" t="s">
        <v>223</v>
      </c>
      <c r="X20" t="s">
        <v>223</v>
      </c>
    </row>
    <row r="21" spans="1:24" x14ac:dyDescent="0.2">
      <c r="D21">
        <v>0.46482440000000003</v>
      </c>
      <c r="E21">
        <v>57.199999999999996</v>
      </c>
      <c r="F21">
        <v>25</v>
      </c>
      <c r="G21">
        <v>0.17510348858216454</v>
      </c>
      <c r="H21">
        <v>95.510348858216446</v>
      </c>
      <c r="L21">
        <v>0.68171700000000002</v>
      </c>
      <c r="M21">
        <v>57.4</v>
      </c>
      <c r="N21">
        <v>8</v>
      </c>
      <c r="O21">
        <v>0.16693076376293794</v>
      </c>
      <c r="P21">
        <v>80.293076376293797</v>
      </c>
      <c r="T21">
        <v>0.39993050000000002</v>
      </c>
      <c r="U21">
        <v>58</v>
      </c>
      <c r="V21">
        <v>4</v>
      </c>
      <c r="W21">
        <v>0.16524812341081874</v>
      </c>
      <c r="X21">
        <v>77.843686021343871</v>
      </c>
    </row>
    <row r="22" spans="1:24" x14ac:dyDescent="0.2">
      <c r="D22" t="s">
        <v>225</v>
      </c>
      <c r="E22" t="s">
        <v>225</v>
      </c>
      <c r="F22" t="s">
        <v>225</v>
      </c>
      <c r="G22" t="s">
        <v>225</v>
      </c>
      <c r="H22" t="s">
        <v>225</v>
      </c>
      <c r="L22" t="s">
        <v>225</v>
      </c>
      <c r="M22" t="s">
        <v>225</v>
      </c>
      <c r="N22" t="s">
        <v>225</v>
      </c>
      <c r="O22" t="s">
        <v>225</v>
      </c>
      <c r="P22" t="s">
        <v>225</v>
      </c>
      <c r="T22" t="s">
        <v>225</v>
      </c>
      <c r="U22" t="s">
        <v>225</v>
      </c>
      <c r="V22" t="s">
        <v>225</v>
      </c>
      <c r="W22" t="s">
        <v>225</v>
      </c>
      <c r="X22" t="s">
        <v>225</v>
      </c>
    </row>
    <row r="23" spans="1:24" x14ac:dyDescent="0.2">
      <c r="D23">
        <v>0.37270130000000001</v>
      </c>
      <c r="E23">
        <v>51.999999999999993</v>
      </c>
      <c r="F23">
        <v>11</v>
      </c>
      <c r="G23">
        <v>0.16607578023887712</v>
      </c>
      <c r="H23">
        <v>84.607578023887712</v>
      </c>
      <c r="L23">
        <v>0.60752349999999999</v>
      </c>
      <c r="M23">
        <v>55.6</v>
      </c>
      <c r="N23">
        <v>4</v>
      </c>
      <c r="O23">
        <v>0.16443686021343873</v>
      </c>
      <c r="P23">
        <v>77.324812341081866</v>
      </c>
      <c r="T23">
        <v>0.33855760000000001</v>
      </c>
      <c r="U23">
        <v>56.8</v>
      </c>
      <c r="V23">
        <v>1</v>
      </c>
      <c r="W23">
        <v>0.16363480559554011</v>
      </c>
      <c r="X23">
        <v>75.363480559554006</v>
      </c>
    </row>
    <row r="24" spans="1:24" x14ac:dyDescent="0.2">
      <c r="D24" t="s">
        <v>227</v>
      </c>
      <c r="E24" t="s">
        <v>227</v>
      </c>
      <c r="F24" t="s">
        <v>227</v>
      </c>
      <c r="G24" t="s">
        <v>227</v>
      </c>
      <c r="H24" t="s">
        <v>227</v>
      </c>
      <c r="L24" t="s">
        <v>227</v>
      </c>
      <c r="M24" t="s">
        <v>227</v>
      </c>
      <c r="N24" t="s">
        <v>227</v>
      </c>
      <c r="O24" t="s">
        <v>227</v>
      </c>
      <c r="P24" t="s">
        <v>227</v>
      </c>
      <c r="T24" t="s">
        <v>227</v>
      </c>
      <c r="U24" t="s">
        <v>227</v>
      </c>
      <c r="V24" t="s">
        <v>227</v>
      </c>
      <c r="W24" t="s">
        <v>227</v>
      </c>
      <c r="X24" t="s">
        <v>227</v>
      </c>
    </row>
    <row r="25" spans="1:24" x14ac:dyDescent="0.2">
      <c r="D25">
        <v>0.40631311333333342</v>
      </c>
      <c r="E25">
        <v>54.766666666666673</v>
      </c>
      <c r="F25">
        <v>19</v>
      </c>
      <c r="G25">
        <v>0.1696042145237395</v>
      </c>
      <c r="H25">
        <v>90.727088119040616</v>
      </c>
      <c r="L25">
        <v>0.64246075999999996</v>
      </c>
      <c r="M25">
        <v>56.96</v>
      </c>
      <c r="N25">
        <v>4.833333333333333</v>
      </c>
      <c r="O25">
        <v>0.1650348832654745</v>
      </c>
      <c r="P25">
        <v>78.296821659880806</v>
      </c>
      <c r="T25">
        <v>0.36718963000000004</v>
      </c>
      <c r="U25">
        <v>57.600000000000023</v>
      </c>
      <c r="V25">
        <v>2.2000000000000002</v>
      </c>
      <c r="W25">
        <v>0.16416981562678851</v>
      </c>
      <c r="X25">
        <v>76.216981562678868</v>
      </c>
    </row>
    <row r="26" spans="1:24" x14ac:dyDescent="0.2">
      <c r="D26" t="s">
        <v>229</v>
      </c>
      <c r="E26" t="s">
        <v>229</v>
      </c>
      <c r="F26" t="s">
        <v>229</v>
      </c>
      <c r="G26" t="s">
        <v>229</v>
      </c>
      <c r="H26" t="s">
        <v>229</v>
      </c>
      <c r="L26" t="s">
        <v>229</v>
      </c>
      <c r="M26" t="s">
        <v>229</v>
      </c>
      <c r="N26" t="s">
        <v>229</v>
      </c>
      <c r="O26" t="s">
        <v>229</v>
      </c>
      <c r="P26" t="s">
        <v>229</v>
      </c>
      <c r="T26" t="s">
        <v>229</v>
      </c>
      <c r="U26" t="s">
        <v>229</v>
      </c>
      <c r="V26" t="s">
        <v>229</v>
      </c>
      <c r="W26" t="s">
        <v>229</v>
      </c>
      <c r="X26" t="s">
        <v>229</v>
      </c>
    </row>
    <row r="27" spans="1:24" x14ac:dyDescent="0.2">
      <c r="D27">
        <v>2.7097806965849406E-2</v>
      </c>
      <c r="E27">
        <v>1.1698315037330973</v>
      </c>
      <c r="F27">
        <v>2.7667982242644844</v>
      </c>
      <c r="G27">
        <v>1.9678173286358249E-3</v>
      </c>
      <c r="H27">
        <v>2.4049997529449043</v>
      </c>
      <c r="L27">
        <v>1.9874795825081813E-2</v>
      </c>
      <c r="M27">
        <v>0.44380797338644035</v>
      </c>
      <c r="N27">
        <v>1.0531834608931387</v>
      </c>
      <c r="O27">
        <v>6.0841640465455007E-4</v>
      </c>
      <c r="P27">
        <v>0.83482386349000548</v>
      </c>
      <c r="T27">
        <v>1.7433628259361868E-2</v>
      </c>
      <c r="U27">
        <v>0.3280033641543213</v>
      </c>
      <c r="V27">
        <v>0.9247553264475441</v>
      </c>
      <c r="W27">
        <v>4.3923802943930825E-4</v>
      </c>
      <c r="X27">
        <v>0.71120552608605891</v>
      </c>
    </row>
    <row r="32" spans="1:24" x14ac:dyDescent="0.2">
      <c r="A32" t="s">
        <v>239</v>
      </c>
    </row>
    <row r="33" spans="1:21" x14ac:dyDescent="0.2">
      <c r="C33" t="s">
        <v>237</v>
      </c>
      <c r="G33" t="s">
        <v>7</v>
      </c>
      <c r="K33" t="s">
        <v>238</v>
      </c>
      <c r="O33" t="s">
        <v>9</v>
      </c>
      <c r="S33" t="s">
        <v>10</v>
      </c>
    </row>
    <row r="34" spans="1:21" x14ac:dyDescent="0.2">
      <c r="A34" t="s">
        <v>234</v>
      </c>
      <c r="C34" t="s">
        <v>222</v>
      </c>
      <c r="D34" t="s">
        <v>231</v>
      </c>
      <c r="E34" t="s">
        <v>232</v>
      </c>
      <c r="G34" t="s">
        <v>222</v>
      </c>
      <c r="H34" t="s">
        <v>231</v>
      </c>
      <c r="I34" t="s">
        <v>232</v>
      </c>
      <c r="K34" t="s">
        <v>222</v>
      </c>
      <c r="L34" t="s">
        <v>231</v>
      </c>
      <c r="M34" t="s">
        <v>232</v>
      </c>
      <c r="O34" t="s">
        <v>222</v>
      </c>
      <c r="P34" t="s">
        <v>231</v>
      </c>
      <c r="Q34" t="s">
        <v>232</v>
      </c>
      <c r="S34" t="s">
        <v>222</v>
      </c>
      <c r="T34" t="s">
        <v>231</v>
      </c>
      <c r="U34" t="s">
        <v>232</v>
      </c>
    </row>
    <row r="35" spans="1:21" x14ac:dyDescent="0.2">
      <c r="B35" t="s">
        <v>223</v>
      </c>
      <c r="C35">
        <v>0.33357550000000002</v>
      </c>
      <c r="D35">
        <v>0.4775643</v>
      </c>
      <c r="E35">
        <v>0.31365520000000002</v>
      </c>
      <c r="G35">
        <v>36.4</v>
      </c>
      <c r="H35">
        <v>33.399999999999991</v>
      </c>
      <c r="I35">
        <v>34.399999999999991</v>
      </c>
      <c r="K35">
        <v>17</v>
      </c>
      <c r="L35">
        <v>11</v>
      </c>
      <c r="M35">
        <v>11</v>
      </c>
      <c r="O35">
        <v>0.25794332381556001</v>
      </c>
      <c r="P35">
        <v>0.2536752734581047</v>
      </c>
      <c r="Q35">
        <v>0.25436518859153151</v>
      </c>
      <c r="S35">
        <v>73.836518859153145</v>
      </c>
      <c r="T35">
        <v>66.567527345810461</v>
      </c>
      <c r="U35">
        <v>67.330185843997924</v>
      </c>
    </row>
    <row r="36" spans="1:21" x14ac:dyDescent="0.2">
      <c r="B36" t="s">
        <v>226</v>
      </c>
      <c r="C36">
        <v>0.23963570000000001</v>
      </c>
      <c r="D36">
        <v>0.38256669999999998</v>
      </c>
      <c r="E36">
        <v>0.26231480000000001</v>
      </c>
      <c r="G36">
        <v>32.599999999999994</v>
      </c>
      <c r="H36">
        <v>32.599999999999994</v>
      </c>
      <c r="I36">
        <v>32.599999999999994</v>
      </c>
      <c r="K36">
        <v>11</v>
      </c>
      <c r="L36">
        <v>8</v>
      </c>
      <c r="M36">
        <v>5</v>
      </c>
      <c r="O36">
        <v>0.22930185843997941</v>
      </c>
      <c r="P36">
        <v>0.22930185843997941</v>
      </c>
      <c r="Q36">
        <v>0.22930185843997941</v>
      </c>
      <c r="S36">
        <v>66.530185843997941</v>
      </c>
      <c r="T36">
        <v>63.530185843997934</v>
      </c>
      <c r="U36">
        <v>63.530185843997934</v>
      </c>
    </row>
    <row r="37" spans="1:21" x14ac:dyDescent="0.2">
      <c r="B37" t="s">
        <v>227</v>
      </c>
      <c r="C37">
        <v>0.26031144666666667</v>
      </c>
      <c r="D37">
        <v>0.42044947333333332</v>
      </c>
      <c r="E37">
        <v>0.28439477333333341</v>
      </c>
      <c r="G37">
        <v>33.753333333333337</v>
      </c>
      <c r="H37">
        <v>32.95333333333334</v>
      </c>
      <c r="I37">
        <v>32.686666666666682</v>
      </c>
      <c r="K37">
        <v>13.266666666666667</v>
      </c>
      <c r="L37">
        <v>8.3666666666666671</v>
      </c>
      <c r="M37">
        <v>8.9666666666666668</v>
      </c>
      <c r="O37">
        <v>0.24427417681148397</v>
      </c>
      <c r="P37">
        <v>0.24148856594904192</v>
      </c>
      <c r="Q37">
        <v>0.23013730277836439</v>
      </c>
      <c r="S37">
        <v>71.447417681148394</v>
      </c>
      <c r="T37">
        <v>65.468856594904224</v>
      </c>
      <c r="U37">
        <v>64.667063611169795</v>
      </c>
    </row>
    <row r="38" spans="1:21" x14ac:dyDescent="0.2">
      <c r="B38" t="s">
        <v>229</v>
      </c>
      <c r="C38">
        <v>2.2259021391224477E-2</v>
      </c>
      <c r="D38">
        <v>2.0012628785722443E-2</v>
      </c>
      <c r="E38">
        <v>1.3408509005052532E-2</v>
      </c>
      <c r="G38">
        <v>1.1199548430962354</v>
      </c>
      <c r="H38">
        <v>0.31811224795479154</v>
      </c>
      <c r="I38">
        <v>0.35499716689819738</v>
      </c>
      <c r="K38">
        <v>1.8925139881655573</v>
      </c>
      <c r="L38">
        <v>0.7183954022841379</v>
      </c>
      <c r="M38">
        <v>1.0333518722845689</v>
      </c>
      <c r="O38">
        <v>1.1745221473957623E-2</v>
      </c>
      <c r="P38">
        <v>1.2395042386795584E-2</v>
      </c>
      <c r="Q38">
        <v>4.5759170967348212E-3</v>
      </c>
      <c r="S38">
        <v>1.6042529922008568</v>
      </c>
      <c r="T38">
        <v>1.2799289119121229</v>
      </c>
      <c r="U38">
        <v>0.79593307251551393</v>
      </c>
    </row>
    <row r="41" spans="1:21" x14ac:dyDescent="0.2">
      <c r="C41" t="s">
        <v>237</v>
      </c>
      <c r="G41" t="s">
        <v>7</v>
      </c>
      <c r="K41" t="s">
        <v>238</v>
      </c>
      <c r="O41" t="s">
        <v>9</v>
      </c>
      <c r="S41" t="s">
        <v>10</v>
      </c>
    </row>
    <row r="42" spans="1:21" x14ac:dyDescent="0.2">
      <c r="A42" t="s">
        <v>235</v>
      </c>
      <c r="C42" t="s">
        <v>222</v>
      </c>
      <c r="D42" t="s">
        <v>231</v>
      </c>
      <c r="E42" t="s">
        <v>232</v>
      </c>
      <c r="G42" t="s">
        <v>222</v>
      </c>
      <c r="H42" t="s">
        <v>231</v>
      </c>
      <c r="I42" t="s">
        <v>232</v>
      </c>
      <c r="K42" t="s">
        <v>222</v>
      </c>
      <c r="L42" t="s">
        <v>231</v>
      </c>
      <c r="M42" t="s">
        <v>232</v>
      </c>
      <c r="O42" t="s">
        <v>222</v>
      </c>
      <c r="P42" t="s">
        <v>231</v>
      </c>
      <c r="Q42" t="s">
        <v>232</v>
      </c>
      <c r="S42" t="s">
        <v>222</v>
      </c>
      <c r="T42" t="s">
        <v>231</v>
      </c>
      <c r="U42" t="s">
        <v>232</v>
      </c>
    </row>
    <row r="43" spans="1:21" x14ac:dyDescent="0.2">
      <c r="B43" t="s">
        <v>223</v>
      </c>
      <c r="C43">
        <v>0.40075450000000001</v>
      </c>
      <c r="D43">
        <v>0.69723760000000001</v>
      </c>
      <c r="E43">
        <v>0.46535700000000002</v>
      </c>
      <c r="G43">
        <v>59.399999999999991</v>
      </c>
      <c r="H43">
        <v>56.199999999999982</v>
      </c>
      <c r="I43">
        <v>53.79999999999999</v>
      </c>
      <c r="K43">
        <v>31</v>
      </c>
      <c r="L43">
        <v>22</v>
      </c>
      <c r="M43">
        <v>15</v>
      </c>
      <c r="O43">
        <v>0.17510348858216454</v>
      </c>
      <c r="P43">
        <v>0.17360739953810886</v>
      </c>
      <c r="Q43">
        <v>0.17510348858216454</v>
      </c>
      <c r="S43">
        <v>102.4743984571476</v>
      </c>
      <c r="T43">
        <v>92.653833060089653</v>
      </c>
      <c r="U43">
        <v>84.710348858216435</v>
      </c>
    </row>
    <row r="44" spans="1:21" x14ac:dyDescent="0.2">
      <c r="B44" t="s">
        <v>226</v>
      </c>
      <c r="C44">
        <v>0.36827520000000002</v>
      </c>
      <c r="D44">
        <v>0.63955510000000004</v>
      </c>
      <c r="E44">
        <v>0.40239659999999999</v>
      </c>
      <c r="G44">
        <v>51.799999999999983</v>
      </c>
      <c r="H44">
        <v>51.999999999999986</v>
      </c>
      <c r="I44">
        <v>50.199999999999989</v>
      </c>
      <c r="K44">
        <v>22</v>
      </c>
      <c r="L44">
        <v>16</v>
      </c>
      <c r="M44">
        <v>9</v>
      </c>
      <c r="O44">
        <v>0.16607578023887712</v>
      </c>
      <c r="P44">
        <v>0.16874398457147607</v>
      </c>
      <c r="Q44">
        <v>0.16963791265880057</v>
      </c>
      <c r="S44">
        <v>94.858113632261166</v>
      </c>
      <c r="T44">
        <v>87.853833060089642</v>
      </c>
      <c r="U44">
        <v>79.165650643722785</v>
      </c>
    </row>
    <row r="45" spans="1:21" x14ac:dyDescent="0.2">
      <c r="B45" t="s">
        <v>227</v>
      </c>
      <c r="C45">
        <v>0.38237831999999999</v>
      </c>
      <c r="D45">
        <v>0.6638731133333331</v>
      </c>
      <c r="E45">
        <v>0.4351456766666667</v>
      </c>
      <c r="G45">
        <v>54.999999999999993</v>
      </c>
      <c r="H45">
        <v>55.146666666666668</v>
      </c>
      <c r="I45">
        <v>51.593333333333348</v>
      </c>
      <c r="K45">
        <v>26.7</v>
      </c>
      <c r="L45">
        <v>18.100000000000001</v>
      </c>
      <c r="M45">
        <v>12.766666666666667</v>
      </c>
      <c r="O45">
        <v>0.17132638284961374</v>
      </c>
      <c r="P45">
        <v>0.1699950228929252</v>
      </c>
      <c r="Q45">
        <v>0.17247005649380354</v>
      </c>
      <c r="S45">
        <v>98.832638284961376</v>
      </c>
      <c r="T45">
        <v>90.246168955959163</v>
      </c>
      <c r="U45">
        <v>81.607005649380341</v>
      </c>
    </row>
    <row r="46" spans="1:21" x14ac:dyDescent="0.2">
      <c r="B46" t="s">
        <v>229</v>
      </c>
      <c r="C46">
        <v>8.1398583477635036E-3</v>
      </c>
      <c r="D46">
        <v>1.3947446528029058E-2</v>
      </c>
      <c r="E46">
        <v>1.4303582578782751E-2</v>
      </c>
      <c r="G46">
        <v>1.8871617075239819</v>
      </c>
      <c r="H46">
        <v>0.8418916849544249</v>
      </c>
      <c r="I46">
        <v>0.9930563526508609</v>
      </c>
      <c r="K46">
        <v>1.9852907369815707</v>
      </c>
      <c r="L46">
        <v>1.446756181350493</v>
      </c>
      <c r="M46">
        <v>1.4546793303071961</v>
      </c>
      <c r="O46">
        <v>2.4392884237658895E-3</v>
      </c>
      <c r="P46">
        <v>9.7084814734828197E-4</v>
      </c>
      <c r="Q46">
        <v>2.4349971566130254E-3</v>
      </c>
      <c r="S46">
        <v>1.9991257743544042</v>
      </c>
      <c r="T46">
        <v>1.1531924431010414</v>
      </c>
      <c r="U46">
        <v>1.5217848214090055</v>
      </c>
    </row>
    <row r="49" spans="1:21" x14ac:dyDescent="0.2">
      <c r="C49" t="s">
        <v>237</v>
      </c>
      <c r="G49" t="s">
        <v>7</v>
      </c>
      <c r="K49" t="s">
        <v>238</v>
      </c>
      <c r="O49" t="s">
        <v>9</v>
      </c>
      <c r="S49" t="s">
        <v>10</v>
      </c>
    </row>
    <row r="50" spans="1:21" x14ac:dyDescent="0.2">
      <c r="A50" t="s">
        <v>236</v>
      </c>
      <c r="C50" t="s">
        <v>222</v>
      </c>
      <c r="D50" t="s">
        <v>231</v>
      </c>
      <c r="E50" t="s">
        <v>232</v>
      </c>
      <c r="G50" t="s">
        <v>222</v>
      </c>
      <c r="H50" t="s">
        <v>231</v>
      </c>
      <c r="I50" t="s">
        <v>232</v>
      </c>
      <c r="K50" t="s">
        <v>222</v>
      </c>
      <c r="L50" t="s">
        <v>231</v>
      </c>
      <c r="M50" t="s">
        <v>232</v>
      </c>
      <c r="O50" t="s">
        <v>222</v>
      </c>
      <c r="P50" t="s">
        <v>231</v>
      </c>
      <c r="Q50" t="s">
        <v>232</v>
      </c>
      <c r="S50" t="s">
        <v>222</v>
      </c>
      <c r="T50" t="s">
        <v>231</v>
      </c>
      <c r="U50" t="s">
        <v>232</v>
      </c>
    </row>
    <row r="51" spans="1:21" x14ac:dyDescent="0.2">
      <c r="B51" t="s">
        <v>223</v>
      </c>
      <c r="C51">
        <v>0.46482440000000003</v>
      </c>
      <c r="D51">
        <v>0.68171700000000002</v>
      </c>
      <c r="E51">
        <v>0.39993050000000002</v>
      </c>
      <c r="G51">
        <v>57.199999999999996</v>
      </c>
      <c r="H51">
        <v>57.4</v>
      </c>
      <c r="I51">
        <v>58</v>
      </c>
      <c r="K51">
        <v>25</v>
      </c>
      <c r="L51">
        <v>8</v>
      </c>
      <c r="M51">
        <v>4</v>
      </c>
      <c r="O51">
        <v>0.17510348858216454</v>
      </c>
      <c r="P51">
        <v>0.16693076376293794</v>
      </c>
      <c r="Q51">
        <v>0.16524812341081874</v>
      </c>
      <c r="S51">
        <v>95.510348858216446</v>
      </c>
      <c r="T51">
        <v>80.293076376293797</v>
      </c>
      <c r="U51">
        <v>77.843686021343871</v>
      </c>
    </row>
    <row r="52" spans="1:21" x14ac:dyDescent="0.2">
      <c r="B52" t="s">
        <v>226</v>
      </c>
      <c r="C52">
        <v>0.37270130000000001</v>
      </c>
      <c r="D52">
        <v>0.60752349999999999</v>
      </c>
      <c r="E52">
        <v>0.33855760000000001</v>
      </c>
      <c r="G52">
        <v>51.999999999999993</v>
      </c>
      <c r="H52">
        <v>55.6</v>
      </c>
      <c r="I52">
        <v>56.8</v>
      </c>
      <c r="K52">
        <v>11</v>
      </c>
      <c r="L52">
        <v>4</v>
      </c>
      <c r="M52">
        <v>1</v>
      </c>
      <c r="O52">
        <v>0.16607578023887712</v>
      </c>
      <c r="P52">
        <v>0.16443686021343873</v>
      </c>
      <c r="Q52">
        <v>0.16363480559554011</v>
      </c>
      <c r="S52">
        <v>84.607578023887712</v>
      </c>
      <c r="T52">
        <v>77.324812341081866</v>
      </c>
      <c r="U52">
        <v>75.363480559554006</v>
      </c>
    </row>
    <row r="53" spans="1:21" x14ac:dyDescent="0.2">
      <c r="B53" t="s">
        <v>227</v>
      </c>
      <c r="C53">
        <v>0.40631311333333342</v>
      </c>
      <c r="D53">
        <v>0.64246075999999996</v>
      </c>
      <c r="E53">
        <v>0.36718963000000004</v>
      </c>
      <c r="G53">
        <v>54.766666666666673</v>
      </c>
      <c r="H53">
        <v>56.96</v>
      </c>
      <c r="I53">
        <v>57.600000000000023</v>
      </c>
      <c r="K53">
        <v>19</v>
      </c>
      <c r="L53">
        <v>4.833333333333333</v>
      </c>
      <c r="M53">
        <v>2.2000000000000002</v>
      </c>
      <c r="O53">
        <v>0.1696042145237395</v>
      </c>
      <c r="P53">
        <v>0.1650348832654745</v>
      </c>
      <c r="Q53">
        <v>0.16416981562678851</v>
      </c>
      <c r="S53">
        <v>90.727088119040616</v>
      </c>
      <c r="T53">
        <v>78.296821659880806</v>
      </c>
      <c r="U53">
        <v>76.216981562678868</v>
      </c>
    </row>
    <row r="54" spans="1:21" x14ac:dyDescent="0.2">
      <c r="B54" t="s">
        <v>229</v>
      </c>
      <c r="C54">
        <v>2.7097806965849406E-2</v>
      </c>
      <c r="D54">
        <v>1.9874795825081813E-2</v>
      </c>
      <c r="E54">
        <v>1.7433628259361868E-2</v>
      </c>
      <c r="G54">
        <v>1.1698315037330973</v>
      </c>
      <c r="H54">
        <v>0.44380797338644035</v>
      </c>
      <c r="I54">
        <v>0.3280033641543213</v>
      </c>
      <c r="K54">
        <v>2.7667982242644844</v>
      </c>
      <c r="L54">
        <v>1.0531834608931387</v>
      </c>
      <c r="M54">
        <v>0.9247553264475441</v>
      </c>
      <c r="O54">
        <v>1.9678173286358249E-3</v>
      </c>
      <c r="P54">
        <v>6.0841640465455007E-4</v>
      </c>
      <c r="Q54">
        <v>4.3923802943930825E-4</v>
      </c>
      <c r="S54">
        <v>2.4049997529449043</v>
      </c>
      <c r="T54">
        <v>0.83482386349000548</v>
      </c>
      <c r="U54">
        <v>0.71120552608605891</v>
      </c>
    </row>
    <row r="57" spans="1:21" x14ac:dyDescent="0.2">
      <c r="A57" t="s">
        <v>240</v>
      </c>
    </row>
    <row r="58" spans="1:21" x14ac:dyDescent="0.2">
      <c r="C58" t="s">
        <v>241</v>
      </c>
      <c r="G58" t="s">
        <v>242</v>
      </c>
      <c r="K58" t="s">
        <v>243</v>
      </c>
      <c r="O58" t="s">
        <v>246</v>
      </c>
      <c r="S58" t="s">
        <v>244</v>
      </c>
    </row>
    <row r="59" spans="1:21" x14ac:dyDescent="0.2">
      <c r="A59" t="s">
        <v>234</v>
      </c>
      <c r="C59" t="s">
        <v>222</v>
      </c>
      <c r="D59" t="s">
        <v>231</v>
      </c>
      <c r="E59" t="s">
        <v>232</v>
      </c>
      <c r="G59" t="s">
        <v>222</v>
      </c>
      <c r="H59" t="s">
        <v>231</v>
      </c>
      <c r="I59" t="s">
        <v>232</v>
      </c>
      <c r="K59" t="s">
        <v>222</v>
      </c>
      <c r="L59" t="s">
        <v>231</v>
      </c>
      <c r="M59" t="s">
        <v>232</v>
      </c>
      <c r="O59" t="s">
        <v>222</v>
      </c>
      <c r="P59" t="s">
        <v>231</v>
      </c>
      <c r="Q59" t="s">
        <v>232</v>
      </c>
      <c r="S59" t="s">
        <v>222</v>
      </c>
      <c r="T59" t="s">
        <v>231</v>
      </c>
      <c r="U59" t="s">
        <v>232</v>
      </c>
    </row>
    <row r="60" spans="1:21" x14ac:dyDescent="0.2">
      <c r="B60" t="s">
        <v>223</v>
      </c>
      <c r="C60">
        <f>ROUND(C35,2)</f>
        <v>0.33</v>
      </c>
      <c r="D60">
        <f t="shared" ref="D60:U63" si="0">ROUND(D35,2)</f>
        <v>0.48</v>
      </c>
      <c r="E60" s="1">
        <f t="shared" si="0"/>
        <v>0.31</v>
      </c>
      <c r="G60">
        <f t="shared" si="0"/>
        <v>36.4</v>
      </c>
      <c r="H60" s="1">
        <f t="shared" si="0"/>
        <v>33.4</v>
      </c>
      <c r="I60">
        <f t="shared" si="0"/>
        <v>34.4</v>
      </c>
      <c r="K60">
        <f>ROUND(K35,2)</f>
        <v>17</v>
      </c>
      <c r="L60">
        <f t="shared" si="0"/>
        <v>11</v>
      </c>
      <c r="M60" s="1">
        <f t="shared" si="0"/>
        <v>11</v>
      </c>
      <c r="O60">
        <f>ROUND(O35*100,2)</f>
        <v>25.79</v>
      </c>
      <c r="P60" s="1">
        <f t="shared" ref="P60:Q60" si="1">ROUND(P35*100,2)</f>
        <v>25.37</v>
      </c>
      <c r="Q60">
        <f t="shared" si="1"/>
        <v>25.44</v>
      </c>
      <c r="S60">
        <f t="shared" si="0"/>
        <v>73.84</v>
      </c>
      <c r="T60" s="1">
        <f t="shared" si="0"/>
        <v>66.569999999999993</v>
      </c>
      <c r="U60">
        <f t="shared" si="0"/>
        <v>67.33</v>
      </c>
    </row>
    <row r="61" spans="1:21" x14ac:dyDescent="0.2">
      <c r="B61" t="s">
        <v>226</v>
      </c>
      <c r="C61" s="1">
        <f t="shared" ref="C61:M63" si="2">ROUND(C36,2)</f>
        <v>0.24</v>
      </c>
      <c r="D61">
        <f t="shared" si="2"/>
        <v>0.38</v>
      </c>
      <c r="E61">
        <f t="shared" si="2"/>
        <v>0.26</v>
      </c>
      <c r="G61">
        <f t="shared" si="2"/>
        <v>32.6</v>
      </c>
      <c r="H61">
        <f t="shared" si="2"/>
        <v>32.6</v>
      </c>
      <c r="I61" s="1">
        <f t="shared" si="2"/>
        <v>32.6</v>
      </c>
      <c r="K61">
        <f t="shared" si="2"/>
        <v>11</v>
      </c>
      <c r="L61">
        <f t="shared" si="2"/>
        <v>8</v>
      </c>
      <c r="M61" s="1">
        <f t="shared" si="2"/>
        <v>5</v>
      </c>
      <c r="O61">
        <f t="shared" ref="O61:Q63" si="3">ROUND(O36*100,2)</f>
        <v>22.93</v>
      </c>
      <c r="P61">
        <f t="shared" si="3"/>
        <v>22.93</v>
      </c>
      <c r="Q61" s="1">
        <f t="shared" si="3"/>
        <v>22.93</v>
      </c>
      <c r="S61">
        <f t="shared" si="0"/>
        <v>66.53</v>
      </c>
      <c r="T61">
        <f t="shared" si="0"/>
        <v>63.53</v>
      </c>
      <c r="U61" s="1">
        <f t="shared" si="0"/>
        <v>63.53</v>
      </c>
    </row>
    <row r="62" spans="1:21" x14ac:dyDescent="0.2">
      <c r="B62" t="s">
        <v>227</v>
      </c>
      <c r="C62" s="1">
        <f t="shared" si="2"/>
        <v>0.26</v>
      </c>
      <c r="D62">
        <f t="shared" si="2"/>
        <v>0.42</v>
      </c>
      <c r="E62">
        <f t="shared" si="2"/>
        <v>0.28000000000000003</v>
      </c>
      <c r="G62">
        <f t="shared" si="2"/>
        <v>33.75</v>
      </c>
      <c r="H62">
        <f t="shared" si="2"/>
        <v>32.950000000000003</v>
      </c>
      <c r="I62" s="1">
        <f t="shared" si="2"/>
        <v>32.69</v>
      </c>
      <c r="K62">
        <f t="shared" si="2"/>
        <v>13.27</v>
      </c>
      <c r="L62" s="1">
        <f t="shared" si="2"/>
        <v>8.3699999999999992</v>
      </c>
      <c r="M62">
        <f t="shared" si="2"/>
        <v>8.9700000000000006</v>
      </c>
      <c r="O62">
        <f t="shared" si="3"/>
        <v>24.43</v>
      </c>
      <c r="P62">
        <f t="shared" si="3"/>
        <v>24.15</v>
      </c>
      <c r="Q62" s="1">
        <f t="shared" si="3"/>
        <v>23.01</v>
      </c>
      <c r="S62">
        <f t="shared" si="0"/>
        <v>71.45</v>
      </c>
      <c r="T62" s="2">
        <f t="shared" si="0"/>
        <v>65.47</v>
      </c>
      <c r="U62" s="1">
        <f t="shared" si="0"/>
        <v>64.67</v>
      </c>
    </row>
    <row r="63" spans="1:21" x14ac:dyDescent="0.2">
      <c r="B63" t="s">
        <v>229</v>
      </c>
      <c r="C63">
        <f t="shared" si="2"/>
        <v>0.02</v>
      </c>
      <c r="D63">
        <f t="shared" si="2"/>
        <v>0.02</v>
      </c>
      <c r="E63" s="1">
        <f t="shared" si="2"/>
        <v>0.01</v>
      </c>
      <c r="G63">
        <f t="shared" si="2"/>
        <v>1.1200000000000001</v>
      </c>
      <c r="H63" s="1">
        <f t="shared" si="2"/>
        <v>0.32</v>
      </c>
      <c r="I63">
        <f t="shared" si="2"/>
        <v>0.35</v>
      </c>
      <c r="K63">
        <f t="shared" si="2"/>
        <v>1.89</v>
      </c>
      <c r="L63" s="1">
        <f t="shared" si="2"/>
        <v>0.72</v>
      </c>
      <c r="M63">
        <f t="shared" si="2"/>
        <v>1.03</v>
      </c>
      <c r="O63">
        <f t="shared" si="3"/>
        <v>1.17</v>
      </c>
      <c r="P63">
        <f t="shared" si="3"/>
        <v>1.24</v>
      </c>
      <c r="Q63" s="1">
        <f t="shared" si="3"/>
        <v>0.46</v>
      </c>
      <c r="S63">
        <f t="shared" si="0"/>
        <v>1.6</v>
      </c>
      <c r="T63">
        <f t="shared" si="0"/>
        <v>1.28</v>
      </c>
      <c r="U63" s="1">
        <f t="shared" si="0"/>
        <v>0.8</v>
      </c>
    </row>
    <row r="66" spans="1:21" x14ac:dyDescent="0.2">
      <c r="C66" t="s">
        <v>237</v>
      </c>
      <c r="G66" t="s">
        <v>7</v>
      </c>
      <c r="K66" t="s">
        <v>238</v>
      </c>
      <c r="O66" t="s">
        <v>9</v>
      </c>
      <c r="S66" t="s">
        <v>10</v>
      </c>
    </row>
    <row r="67" spans="1:21" x14ac:dyDescent="0.2">
      <c r="A67" t="s">
        <v>235</v>
      </c>
      <c r="C67" t="s">
        <v>222</v>
      </c>
      <c r="D67" t="s">
        <v>231</v>
      </c>
      <c r="E67" t="s">
        <v>232</v>
      </c>
      <c r="G67" t="s">
        <v>222</v>
      </c>
      <c r="H67" t="s">
        <v>231</v>
      </c>
      <c r="I67" t="s">
        <v>232</v>
      </c>
      <c r="K67" t="s">
        <v>222</v>
      </c>
      <c r="L67" t="s">
        <v>231</v>
      </c>
      <c r="M67" t="s">
        <v>232</v>
      </c>
      <c r="O67" t="s">
        <v>222</v>
      </c>
      <c r="P67" t="s">
        <v>231</v>
      </c>
      <c r="Q67" t="s">
        <v>232</v>
      </c>
      <c r="S67" t="s">
        <v>222</v>
      </c>
      <c r="T67" t="s">
        <v>231</v>
      </c>
      <c r="U67" t="s">
        <v>232</v>
      </c>
    </row>
    <row r="68" spans="1:21" x14ac:dyDescent="0.2">
      <c r="B68" t="s">
        <v>223</v>
      </c>
      <c r="C68" s="1">
        <f>ROUND(C43,2)</f>
        <v>0.4</v>
      </c>
      <c r="D68">
        <f t="shared" ref="D68:U71" si="4">ROUND(D43,2)</f>
        <v>0.7</v>
      </c>
      <c r="E68">
        <f t="shared" si="4"/>
        <v>0.47</v>
      </c>
      <c r="G68">
        <f t="shared" si="4"/>
        <v>59.4</v>
      </c>
      <c r="H68">
        <f t="shared" si="4"/>
        <v>56.2</v>
      </c>
      <c r="I68" s="1">
        <f t="shared" si="4"/>
        <v>53.8</v>
      </c>
      <c r="K68">
        <f t="shared" si="4"/>
        <v>31</v>
      </c>
      <c r="L68">
        <f t="shared" si="4"/>
        <v>22</v>
      </c>
      <c r="M68" s="1">
        <f t="shared" si="4"/>
        <v>15</v>
      </c>
      <c r="O68">
        <f>ROUND(O43*100,2)</f>
        <v>17.510000000000002</v>
      </c>
      <c r="P68" s="1">
        <f t="shared" ref="P68:Q68" si="5">ROUND(P43*100,2)</f>
        <v>17.36</v>
      </c>
      <c r="Q68">
        <f t="shared" si="5"/>
        <v>17.510000000000002</v>
      </c>
      <c r="S68">
        <f t="shared" si="4"/>
        <v>102.47</v>
      </c>
      <c r="T68">
        <f t="shared" si="4"/>
        <v>92.65</v>
      </c>
      <c r="U68" s="1">
        <f t="shared" si="4"/>
        <v>84.71</v>
      </c>
    </row>
    <row r="69" spans="1:21" x14ac:dyDescent="0.2">
      <c r="B69" t="s">
        <v>226</v>
      </c>
      <c r="C69" s="1">
        <f t="shared" ref="C69:M71" si="6">ROUND(C44,2)</f>
        <v>0.37</v>
      </c>
      <c r="D69">
        <f t="shared" si="6"/>
        <v>0.64</v>
      </c>
      <c r="E69">
        <f t="shared" si="6"/>
        <v>0.4</v>
      </c>
      <c r="G69">
        <f t="shared" si="6"/>
        <v>51.8</v>
      </c>
      <c r="H69">
        <f t="shared" si="6"/>
        <v>52</v>
      </c>
      <c r="I69" s="1">
        <f t="shared" si="6"/>
        <v>50.2</v>
      </c>
      <c r="K69">
        <f t="shared" si="6"/>
        <v>22</v>
      </c>
      <c r="L69">
        <f t="shared" si="6"/>
        <v>16</v>
      </c>
      <c r="M69" s="1">
        <f t="shared" si="6"/>
        <v>9</v>
      </c>
      <c r="O69" s="1">
        <f t="shared" ref="O69:Q71" si="7">ROUND(O44*100,2)</f>
        <v>16.61</v>
      </c>
      <c r="P69">
        <f t="shared" si="7"/>
        <v>16.87</v>
      </c>
      <c r="Q69">
        <f t="shared" si="7"/>
        <v>16.96</v>
      </c>
      <c r="S69">
        <f t="shared" si="4"/>
        <v>94.86</v>
      </c>
      <c r="T69">
        <f t="shared" si="4"/>
        <v>87.85</v>
      </c>
      <c r="U69" s="1">
        <f t="shared" si="4"/>
        <v>79.17</v>
      </c>
    </row>
    <row r="70" spans="1:21" x14ac:dyDescent="0.2">
      <c r="B70" t="s">
        <v>227</v>
      </c>
      <c r="C70" s="1">
        <f t="shared" si="6"/>
        <v>0.38</v>
      </c>
      <c r="D70">
        <f t="shared" si="4"/>
        <v>0.66</v>
      </c>
      <c r="E70">
        <f t="shared" si="4"/>
        <v>0.44</v>
      </c>
      <c r="G70">
        <f t="shared" si="4"/>
        <v>55</v>
      </c>
      <c r="H70">
        <f t="shared" si="4"/>
        <v>55.15</v>
      </c>
      <c r="I70" s="1">
        <f t="shared" si="4"/>
        <v>51.59</v>
      </c>
      <c r="K70">
        <f t="shared" si="4"/>
        <v>26.7</v>
      </c>
      <c r="L70">
        <f t="shared" si="4"/>
        <v>18.100000000000001</v>
      </c>
      <c r="M70" s="1">
        <f t="shared" si="4"/>
        <v>12.77</v>
      </c>
      <c r="O70">
        <f t="shared" si="7"/>
        <v>17.13</v>
      </c>
      <c r="P70" s="1">
        <f t="shared" si="7"/>
        <v>17</v>
      </c>
      <c r="Q70">
        <f t="shared" si="7"/>
        <v>17.25</v>
      </c>
      <c r="S70">
        <f t="shared" si="4"/>
        <v>98.83</v>
      </c>
      <c r="T70">
        <f t="shared" si="4"/>
        <v>90.25</v>
      </c>
      <c r="U70" s="1">
        <f t="shared" si="4"/>
        <v>81.61</v>
      </c>
    </row>
    <row r="71" spans="1:21" x14ac:dyDescent="0.2">
      <c r="B71" t="s">
        <v>229</v>
      </c>
      <c r="C71" s="1">
        <f t="shared" si="6"/>
        <v>0.01</v>
      </c>
      <c r="D71">
        <f t="shared" si="4"/>
        <v>0.01</v>
      </c>
      <c r="E71">
        <f t="shared" si="4"/>
        <v>0.01</v>
      </c>
      <c r="G71">
        <f t="shared" si="4"/>
        <v>1.89</v>
      </c>
      <c r="H71" s="1">
        <f t="shared" si="4"/>
        <v>0.84</v>
      </c>
      <c r="I71">
        <f t="shared" si="4"/>
        <v>0.99</v>
      </c>
      <c r="K71">
        <f t="shared" si="4"/>
        <v>1.99</v>
      </c>
      <c r="L71">
        <f t="shared" si="4"/>
        <v>1.45</v>
      </c>
      <c r="M71" s="1">
        <f t="shared" si="4"/>
        <v>1.45</v>
      </c>
      <c r="O71">
        <f t="shared" si="7"/>
        <v>0.24</v>
      </c>
      <c r="P71" s="1">
        <f t="shared" si="7"/>
        <v>0.1</v>
      </c>
      <c r="Q71">
        <f t="shared" si="7"/>
        <v>0.24</v>
      </c>
      <c r="S71">
        <f t="shared" si="4"/>
        <v>2</v>
      </c>
      <c r="T71" s="1">
        <f t="shared" si="4"/>
        <v>1.1499999999999999</v>
      </c>
      <c r="U71">
        <f t="shared" si="4"/>
        <v>1.52</v>
      </c>
    </row>
    <row r="74" spans="1:21" x14ac:dyDescent="0.2">
      <c r="C74" t="s">
        <v>237</v>
      </c>
      <c r="G74" t="s">
        <v>7</v>
      </c>
      <c r="K74" t="s">
        <v>238</v>
      </c>
      <c r="O74" t="s">
        <v>9</v>
      </c>
      <c r="S74" t="s">
        <v>10</v>
      </c>
    </row>
    <row r="75" spans="1:21" x14ac:dyDescent="0.2">
      <c r="A75" t="s">
        <v>236</v>
      </c>
      <c r="C75" t="s">
        <v>222</v>
      </c>
      <c r="D75" t="s">
        <v>231</v>
      </c>
      <c r="E75" t="s">
        <v>232</v>
      </c>
      <c r="G75" t="s">
        <v>222</v>
      </c>
      <c r="H75" t="s">
        <v>231</v>
      </c>
      <c r="I75" t="s">
        <v>232</v>
      </c>
      <c r="K75" t="s">
        <v>222</v>
      </c>
      <c r="L75" t="s">
        <v>231</v>
      </c>
      <c r="M75" t="s">
        <v>232</v>
      </c>
      <c r="O75" t="s">
        <v>222</v>
      </c>
      <c r="P75" t="s">
        <v>231</v>
      </c>
      <c r="Q75" t="s">
        <v>232</v>
      </c>
      <c r="S75" t="s">
        <v>222</v>
      </c>
      <c r="T75" t="s">
        <v>231</v>
      </c>
      <c r="U75" t="s">
        <v>232</v>
      </c>
    </row>
    <row r="76" spans="1:21" x14ac:dyDescent="0.2">
      <c r="B76" t="s">
        <v>223</v>
      </c>
      <c r="C76">
        <f>ROUND(C51,2)</f>
        <v>0.46</v>
      </c>
      <c r="D76">
        <f t="shared" ref="D76:U79" si="8">ROUND(D51,2)</f>
        <v>0.68</v>
      </c>
      <c r="E76" s="1">
        <f t="shared" si="8"/>
        <v>0.4</v>
      </c>
      <c r="G76" s="1">
        <f t="shared" si="8"/>
        <v>57.2</v>
      </c>
      <c r="H76">
        <f t="shared" si="8"/>
        <v>57.4</v>
      </c>
      <c r="I76">
        <f t="shared" si="8"/>
        <v>58</v>
      </c>
      <c r="K76">
        <f t="shared" si="8"/>
        <v>25</v>
      </c>
      <c r="L76">
        <f t="shared" si="8"/>
        <v>8</v>
      </c>
      <c r="M76" s="1">
        <f t="shared" si="8"/>
        <v>4</v>
      </c>
      <c r="O76">
        <f>ROUND(O51*100,2)</f>
        <v>17.510000000000002</v>
      </c>
      <c r="P76">
        <f t="shared" ref="P76:Q76" si="9">ROUND(P51*100,2)</f>
        <v>16.690000000000001</v>
      </c>
      <c r="Q76" s="1">
        <f t="shared" si="9"/>
        <v>16.52</v>
      </c>
      <c r="S76">
        <f t="shared" si="8"/>
        <v>95.51</v>
      </c>
      <c r="T76">
        <f t="shared" si="8"/>
        <v>80.290000000000006</v>
      </c>
      <c r="U76" s="1">
        <f t="shared" si="8"/>
        <v>77.84</v>
      </c>
    </row>
    <row r="77" spans="1:21" x14ac:dyDescent="0.2">
      <c r="B77" t="s">
        <v>226</v>
      </c>
      <c r="C77">
        <f t="shared" ref="C77:M79" si="10">ROUND(C52,2)</f>
        <v>0.37</v>
      </c>
      <c r="D77">
        <f t="shared" si="10"/>
        <v>0.61</v>
      </c>
      <c r="E77" s="1">
        <f t="shared" si="10"/>
        <v>0.34</v>
      </c>
      <c r="G77" s="1">
        <f t="shared" si="10"/>
        <v>52</v>
      </c>
      <c r="H77">
        <f t="shared" si="10"/>
        <v>55.6</v>
      </c>
      <c r="I77">
        <f t="shared" si="10"/>
        <v>56.8</v>
      </c>
      <c r="K77">
        <f t="shared" si="10"/>
        <v>11</v>
      </c>
      <c r="L77">
        <f t="shared" si="10"/>
        <v>4</v>
      </c>
      <c r="M77" s="1">
        <f t="shared" si="10"/>
        <v>1</v>
      </c>
      <c r="O77">
        <f t="shared" ref="O77:Q79" si="11">ROUND(O52*100,2)</f>
        <v>16.61</v>
      </c>
      <c r="P77">
        <f t="shared" si="11"/>
        <v>16.440000000000001</v>
      </c>
      <c r="Q77" s="1">
        <f t="shared" si="11"/>
        <v>16.36</v>
      </c>
      <c r="S77">
        <f t="shared" si="8"/>
        <v>84.61</v>
      </c>
      <c r="T77">
        <f t="shared" si="8"/>
        <v>77.319999999999993</v>
      </c>
      <c r="U77" s="1">
        <f t="shared" si="8"/>
        <v>75.36</v>
      </c>
    </row>
    <row r="78" spans="1:21" x14ac:dyDescent="0.2">
      <c r="B78" t="s">
        <v>227</v>
      </c>
      <c r="C78">
        <f t="shared" si="10"/>
        <v>0.41</v>
      </c>
      <c r="D78">
        <f t="shared" si="8"/>
        <v>0.64</v>
      </c>
      <c r="E78" s="1">
        <f t="shared" si="8"/>
        <v>0.37</v>
      </c>
      <c r="G78" s="1">
        <f t="shared" si="8"/>
        <v>54.77</v>
      </c>
      <c r="H78">
        <f t="shared" si="8"/>
        <v>56.96</v>
      </c>
      <c r="I78">
        <f t="shared" si="8"/>
        <v>57.6</v>
      </c>
      <c r="K78">
        <f t="shared" si="8"/>
        <v>19</v>
      </c>
      <c r="L78">
        <f t="shared" si="8"/>
        <v>4.83</v>
      </c>
      <c r="M78" s="1">
        <f t="shared" si="8"/>
        <v>2.2000000000000002</v>
      </c>
      <c r="O78">
        <f t="shared" si="11"/>
        <v>16.96</v>
      </c>
      <c r="P78">
        <f t="shared" si="11"/>
        <v>16.5</v>
      </c>
      <c r="Q78" s="1">
        <f t="shared" si="11"/>
        <v>16.420000000000002</v>
      </c>
      <c r="S78">
        <f t="shared" si="8"/>
        <v>90.73</v>
      </c>
      <c r="T78">
        <f t="shared" si="8"/>
        <v>78.3</v>
      </c>
      <c r="U78" s="1">
        <f t="shared" si="8"/>
        <v>76.22</v>
      </c>
    </row>
    <row r="79" spans="1:21" x14ac:dyDescent="0.2">
      <c r="B79" t="s">
        <v>229</v>
      </c>
      <c r="C79">
        <f t="shared" si="10"/>
        <v>0.03</v>
      </c>
      <c r="D79">
        <f t="shared" si="8"/>
        <v>0.02</v>
      </c>
      <c r="E79" s="1">
        <f t="shared" si="8"/>
        <v>0.02</v>
      </c>
      <c r="G79">
        <f t="shared" si="8"/>
        <v>1.17</v>
      </c>
      <c r="H79">
        <f t="shared" si="8"/>
        <v>0.44</v>
      </c>
      <c r="I79" s="1">
        <f t="shared" si="8"/>
        <v>0.33</v>
      </c>
      <c r="K79">
        <f t="shared" si="8"/>
        <v>2.77</v>
      </c>
      <c r="L79">
        <f t="shared" si="8"/>
        <v>1.05</v>
      </c>
      <c r="M79" s="1">
        <f t="shared" si="8"/>
        <v>0.92</v>
      </c>
      <c r="O79">
        <f t="shared" si="11"/>
        <v>0.2</v>
      </c>
      <c r="P79">
        <f t="shared" si="11"/>
        <v>0.06</v>
      </c>
      <c r="Q79" s="1">
        <f t="shared" si="11"/>
        <v>0.04</v>
      </c>
      <c r="S79">
        <f t="shared" si="8"/>
        <v>2.4</v>
      </c>
      <c r="T79">
        <f t="shared" si="8"/>
        <v>0.83</v>
      </c>
      <c r="U79" s="1">
        <f t="shared" si="8"/>
        <v>0.71</v>
      </c>
    </row>
    <row r="83" spans="1:21" x14ac:dyDescent="0.2">
      <c r="A83" t="s">
        <v>255</v>
      </c>
    </row>
    <row r="84" spans="1:21" x14ac:dyDescent="0.2">
      <c r="C84" t="s">
        <v>247</v>
      </c>
      <c r="G84" t="s">
        <v>248</v>
      </c>
      <c r="K84" t="s">
        <v>249</v>
      </c>
      <c r="O84" t="s">
        <v>245</v>
      </c>
      <c r="S84" t="s">
        <v>250</v>
      </c>
    </row>
    <row r="85" spans="1:21" x14ac:dyDescent="0.2">
      <c r="A85" t="s">
        <v>251</v>
      </c>
      <c r="C85" t="s">
        <v>5</v>
      </c>
      <c r="D85" t="s">
        <v>12</v>
      </c>
      <c r="E85" t="s">
        <v>14</v>
      </c>
      <c r="G85" t="s">
        <v>5</v>
      </c>
      <c r="H85" t="s">
        <v>12</v>
      </c>
      <c r="I85" t="s">
        <v>14</v>
      </c>
      <c r="K85" t="s">
        <v>5</v>
      </c>
      <c r="L85" t="s">
        <v>12</v>
      </c>
      <c r="M85" t="s">
        <v>14</v>
      </c>
      <c r="O85" t="s">
        <v>5</v>
      </c>
      <c r="P85" t="s">
        <v>12</v>
      </c>
      <c r="Q85" t="s">
        <v>14</v>
      </c>
      <c r="S85" t="s">
        <v>5</v>
      </c>
      <c r="T85" t="s">
        <v>12</v>
      </c>
      <c r="U85" t="s">
        <v>14</v>
      </c>
    </row>
    <row r="86" spans="1:21" x14ac:dyDescent="0.2">
      <c r="B86" t="s">
        <v>223</v>
      </c>
      <c r="C86">
        <v>0.33</v>
      </c>
      <c r="D86">
        <v>0.48</v>
      </c>
      <c r="E86">
        <v>0.31</v>
      </c>
      <c r="G86">
        <v>36.4</v>
      </c>
      <c r="H86">
        <v>33.4</v>
      </c>
      <c r="I86">
        <v>34.4</v>
      </c>
      <c r="K86">
        <v>17</v>
      </c>
      <c r="L86">
        <v>11</v>
      </c>
      <c r="M86">
        <v>11</v>
      </c>
      <c r="O86">
        <v>25.79</v>
      </c>
      <c r="P86">
        <v>25.37</v>
      </c>
      <c r="Q86">
        <v>25.44</v>
      </c>
      <c r="S86">
        <v>73.84</v>
      </c>
      <c r="T86">
        <v>66.569999999999993</v>
      </c>
      <c r="U86">
        <v>67.33</v>
      </c>
    </row>
    <row r="87" spans="1:21" x14ac:dyDescent="0.2">
      <c r="B87" t="s">
        <v>225</v>
      </c>
      <c r="C87">
        <v>0.24</v>
      </c>
      <c r="D87">
        <v>0.38</v>
      </c>
      <c r="E87">
        <v>0.26</v>
      </c>
      <c r="G87">
        <v>32.6</v>
      </c>
      <c r="H87">
        <v>32.6</v>
      </c>
      <c r="I87">
        <v>32.6</v>
      </c>
      <c r="K87">
        <v>11</v>
      </c>
      <c r="L87">
        <v>8</v>
      </c>
      <c r="M87">
        <v>5</v>
      </c>
      <c r="O87">
        <v>22.93</v>
      </c>
      <c r="P87">
        <v>22.93</v>
      </c>
      <c r="Q87">
        <v>22.93</v>
      </c>
      <c r="S87">
        <v>66.53</v>
      </c>
      <c r="T87">
        <v>63.53</v>
      </c>
      <c r="U87">
        <v>63.53</v>
      </c>
    </row>
    <row r="88" spans="1:21" x14ac:dyDescent="0.2">
      <c r="B88" t="s">
        <v>227</v>
      </c>
      <c r="C88">
        <v>0.26</v>
      </c>
      <c r="D88">
        <v>0.42</v>
      </c>
      <c r="E88">
        <v>0.28000000000000003</v>
      </c>
      <c r="G88">
        <v>33.75</v>
      </c>
      <c r="H88">
        <v>32.950000000000003</v>
      </c>
      <c r="I88">
        <v>32.69</v>
      </c>
      <c r="K88">
        <v>13.27</v>
      </c>
      <c r="L88">
        <v>8.3699999999999992</v>
      </c>
      <c r="M88">
        <v>8.9700000000000006</v>
      </c>
      <c r="O88">
        <v>24.43</v>
      </c>
      <c r="P88">
        <v>24.15</v>
      </c>
      <c r="Q88">
        <v>23.01</v>
      </c>
      <c r="S88">
        <v>71.45</v>
      </c>
      <c r="T88">
        <v>65.47</v>
      </c>
      <c r="U88">
        <v>64.67</v>
      </c>
    </row>
    <row r="89" spans="1:21" x14ac:dyDescent="0.2">
      <c r="B89" t="s">
        <v>229</v>
      </c>
      <c r="C89">
        <v>0.02</v>
      </c>
      <c r="D89">
        <v>0.02</v>
      </c>
      <c r="E89">
        <v>0.01</v>
      </c>
      <c r="G89">
        <v>1.1200000000000001</v>
      </c>
      <c r="H89">
        <v>0.32</v>
      </c>
      <c r="I89">
        <v>0.35</v>
      </c>
      <c r="K89">
        <v>1.89</v>
      </c>
      <c r="L89">
        <v>0.72</v>
      </c>
      <c r="M89">
        <v>1.03</v>
      </c>
      <c r="O89">
        <v>1.17</v>
      </c>
      <c r="P89">
        <v>1.24</v>
      </c>
      <c r="Q89">
        <v>0.46</v>
      </c>
      <c r="S89">
        <v>1.6</v>
      </c>
      <c r="T89">
        <v>1.28</v>
      </c>
      <c r="U89">
        <v>0.8</v>
      </c>
    </row>
    <row r="92" spans="1:21" x14ac:dyDescent="0.2">
      <c r="C92" t="s">
        <v>6</v>
      </c>
      <c r="G92" t="s">
        <v>7</v>
      </c>
      <c r="K92" t="s">
        <v>8</v>
      </c>
      <c r="O92" t="s">
        <v>9</v>
      </c>
      <c r="S92" t="s">
        <v>10</v>
      </c>
    </row>
    <row r="93" spans="1:21" x14ac:dyDescent="0.2">
      <c r="A93" t="s">
        <v>252</v>
      </c>
      <c r="C93" t="s">
        <v>5</v>
      </c>
      <c r="D93" t="s">
        <v>12</v>
      </c>
      <c r="E93" t="s">
        <v>14</v>
      </c>
      <c r="G93" t="s">
        <v>5</v>
      </c>
      <c r="H93" t="s">
        <v>12</v>
      </c>
      <c r="I93" t="s">
        <v>14</v>
      </c>
      <c r="K93" t="s">
        <v>5</v>
      </c>
      <c r="L93" t="s">
        <v>12</v>
      </c>
      <c r="M93" t="s">
        <v>14</v>
      </c>
      <c r="O93" t="s">
        <v>5</v>
      </c>
      <c r="P93" t="s">
        <v>12</v>
      </c>
      <c r="Q93" t="s">
        <v>14</v>
      </c>
      <c r="S93" t="s">
        <v>5</v>
      </c>
      <c r="T93" t="s">
        <v>12</v>
      </c>
      <c r="U93" t="s">
        <v>14</v>
      </c>
    </row>
    <row r="94" spans="1:21" x14ac:dyDescent="0.2">
      <c r="B94" t="s">
        <v>223</v>
      </c>
      <c r="C94">
        <v>0.4</v>
      </c>
      <c r="D94">
        <v>0.7</v>
      </c>
      <c r="E94">
        <v>0.47</v>
      </c>
      <c r="G94">
        <v>59.4</v>
      </c>
      <c r="H94">
        <v>56.2</v>
      </c>
      <c r="I94">
        <v>53.8</v>
      </c>
      <c r="K94">
        <v>31</v>
      </c>
      <c r="L94">
        <v>22</v>
      </c>
      <c r="M94">
        <v>15</v>
      </c>
      <c r="O94">
        <v>17.510000000000002</v>
      </c>
      <c r="P94">
        <v>17.36</v>
      </c>
      <c r="Q94">
        <v>17.510000000000002</v>
      </c>
      <c r="S94">
        <v>102.47</v>
      </c>
      <c r="T94">
        <v>92.65</v>
      </c>
      <c r="U94">
        <v>84.71</v>
      </c>
    </row>
    <row r="95" spans="1:21" x14ac:dyDescent="0.2">
      <c r="B95" t="s">
        <v>225</v>
      </c>
      <c r="C95">
        <v>0.37</v>
      </c>
      <c r="D95">
        <v>0.64</v>
      </c>
      <c r="E95">
        <v>0.4</v>
      </c>
      <c r="G95">
        <v>51.8</v>
      </c>
      <c r="H95">
        <v>52</v>
      </c>
      <c r="I95">
        <v>50.2</v>
      </c>
      <c r="K95">
        <v>22</v>
      </c>
      <c r="L95">
        <v>16</v>
      </c>
      <c r="M95">
        <v>9</v>
      </c>
      <c r="O95">
        <v>16.61</v>
      </c>
      <c r="P95">
        <v>16.87</v>
      </c>
      <c r="Q95">
        <v>16.96</v>
      </c>
      <c r="S95">
        <v>94.86</v>
      </c>
      <c r="T95">
        <v>87.85</v>
      </c>
      <c r="U95">
        <v>79.17</v>
      </c>
    </row>
    <row r="96" spans="1:21" x14ac:dyDescent="0.2">
      <c r="B96" t="s">
        <v>227</v>
      </c>
      <c r="C96">
        <v>0.38</v>
      </c>
      <c r="D96">
        <v>0.66</v>
      </c>
      <c r="E96">
        <v>0.44</v>
      </c>
      <c r="G96">
        <v>55</v>
      </c>
      <c r="H96">
        <v>55.15</v>
      </c>
      <c r="I96">
        <v>51.59</v>
      </c>
      <c r="K96">
        <v>26.7</v>
      </c>
      <c r="L96">
        <v>18.100000000000001</v>
      </c>
      <c r="M96">
        <v>12.77</v>
      </c>
      <c r="O96">
        <v>17.13</v>
      </c>
      <c r="P96">
        <v>17</v>
      </c>
      <c r="Q96">
        <v>17.25</v>
      </c>
      <c r="S96">
        <v>98.83</v>
      </c>
      <c r="T96">
        <v>90.25</v>
      </c>
      <c r="U96">
        <v>81.61</v>
      </c>
    </row>
    <row r="97" spans="1:21" x14ac:dyDescent="0.2">
      <c r="B97" t="s">
        <v>229</v>
      </c>
      <c r="C97">
        <v>0.01</v>
      </c>
      <c r="D97">
        <v>0.01</v>
      </c>
      <c r="E97">
        <v>0.01</v>
      </c>
      <c r="G97">
        <v>1.89</v>
      </c>
      <c r="H97">
        <v>0.84</v>
      </c>
      <c r="I97">
        <v>0.99</v>
      </c>
      <c r="K97">
        <v>1.99</v>
      </c>
      <c r="L97">
        <v>1.45</v>
      </c>
      <c r="M97">
        <v>1.45</v>
      </c>
      <c r="O97">
        <v>0.24</v>
      </c>
      <c r="P97">
        <v>0.1</v>
      </c>
      <c r="Q97">
        <v>0.24</v>
      </c>
      <c r="S97">
        <v>2</v>
      </c>
      <c r="T97">
        <v>1.1499999999999999</v>
      </c>
      <c r="U97">
        <v>1.52</v>
      </c>
    </row>
    <row r="100" spans="1:21" x14ac:dyDescent="0.2">
      <c r="C100" t="s">
        <v>6</v>
      </c>
      <c r="G100" t="s">
        <v>7</v>
      </c>
      <c r="K100" t="s">
        <v>8</v>
      </c>
      <c r="O100" t="s">
        <v>9</v>
      </c>
      <c r="S100" t="s">
        <v>10</v>
      </c>
    </row>
    <row r="101" spans="1:21" x14ac:dyDescent="0.2">
      <c r="A101" t="s">
        <v>253</v>
      </c>
      <c r="C101" t="s">
        <v>5</v>
      </c>
      <c r="D101" t="s">
        <v>12</v>
      </c>
      <c r="E101" t="s">
        <v>14</v>
      </c>
      <c r="G101" t="s">
        <v>5</v>
      </c>
      <c r="H101" t="s">
        <v>12</v>
      </c>
      <c r="I101" t="s">
        <v>14</v>
      </c>
      <c r="K101" t="s">
        <v>5</v>
      </c>
      <c r="L101" t="s">
        <v>12</v>
      </c>
      <c r="M101" t="s">
        <v>14</v>
      </c>
      <c r="O101" t="s">
        <v>5</v>
      </c>
      <c r="P101" t="s">
        <v>12</v>
      </c>
      <c r="Q101" t="s">
        <v>14</v>
      </c>
      <c r="S101" t="s">
        <v>5</v>
      </c>
      <c r="T101" t="s">
        <v>12</v>
      </c>
      <c r="U101" t="s">
        <v>14</v>
      </c>
    </row>
    <row r="102" spans="1:21" x14ac:dyDescent="0.2">
      <c r="B102" t="s">
        <v>223</v>
      </c>
      <c r="C102">
        <v>0.46</v>
      </c>
      <c r="D102">
        <v>0.68</v>
      </c>
      <c r="E102">
        <v>0.4</v>
      </c>
      <c r="G102">
        <v>57.2</v>
      </c>
      <c r="H102">
        <v>57.4</v>
      </c>
      <c r="I102">
        <v>58</v>
      </c>
      <c r="K102">
        <v>57.2</v>
      </c>
      <c r="L102">
        <v>57.4</v>
      </c>
      <c r="M102">
        <v>58</v>
      </c>
      <c r="O102">
        <v>17.510000000000002</v>
      </c>
      <c r="P102">
        <v>16.690000000000001</v>
      </c>
      <c r="Q102">
        <v>16.52</v>
      </c>
      <c r="S102">
        <v>95.51</v>
      </c>
      <c r="T102">
        <v>80.290000000000006</v>
      </c>
      <c r="U102">
        <v>77.84</v>
      </c>
    </row>
    <row r="103" spans="1:21" x14ac:dyDescent="0.2">
      <c r="B103" t="s">
        <v>225</v>
      </c>
      <c r="C103">
        <v>0.37</v>
      </c>
      <c r="D103">
        <v>0.61</v>
      </c>
      <c r="E103">
        <v>0.34</v>
      </c>
      <c r="G103">
        <v>52</v>
      </c>
      <c r="H103">
        <v>55.6</v>
      </c>
      <c r="I103">
        <v>56.8</v>
      </c>
      <c r="K103">
        <v>52</v>
      </c>
      <c r="L103">
        <v>55.6</v>
      </c>
      <c r="M103">
        <v>56.8</v>
      </c>
      <c r="O103">
        <v>16.61</v>
      </c>
      <c r="P103">
        <v>16.440000000000001</v>
      </c>
      <c r="Q103">
        <v>16.36</v>
      </c>
      <c r="S103">
        <v>84.61</v>
      </c>
      <c r="T103">
        <v>77.319999999999993</v>
      </c>
      <c r="U103">
        <v>75.36</v>
      </c>
    </row>
    <row r="104" spans="1:21" x14ac:dyDescent="0.2">
      <c r="B104" t="s">
        <v>227</v>
      </c>
      <c r="C104">
        <v>0.41</v>
      </c>
      <c r="D104">
        <v>0.64</v>
      </c>
      <c r="E104">
        <v>0.37</v>
      </c>
      <c r="G104">
        <v>54.77</v>
      </c>
      <c r="H104">
        <v>56.96</v>
      </c>
      <c r="I104">
        <v>57.6</v>
      </c>
      <c r="K104">
        <v>54.77</v>
      </c>
      <c r="L104">
        <v>56.96</v>
      </c>
      <c r="M104">
        <v>57.6</v>
      </c>
      <c r="O104">
        <v>16.96</v>
      </c>
      <c r="P104">
        <v>16.5</v>
      </c>
      <c r="Q104">
        <v>16.420000000000002</v>
      </c>
      <c r="S104">
        <v>90.73</v>
      </c>
      <c r="T104">
        <v>78.3</v>
      </c>
      <c r="U104">
        <v>76.22</v>
      </c>
    </row>
    <row r="105" spans="1:21" x14ac:dyDescent="0.2">
      <c r="B105" t="s">
        <v>229</v>
      </c>
      <c r="C105">
        <v>0.03</v>
      </c>
      <c r="D105">
        <v>0.02</v>
      </c>
      <c r="E105">
        <v>0.02</v>
      </c>
      <c r="G105">
        <v>1.17</v>
      </c>
      <c r="H105">
        <v>0.44</v>
      </c>
      <c r="I105">
        <v>0.33</v>
      </c>
      <c r="K105">
        <v>1.17</v>
      </c>
      <c r="L105">
        <v>0.44</v>
      </c>
      <c r="M105">
        <v>0.33</v>
      </c>
      <c r="O105">
        <v>0.2</v>
      </c>
      <c r="P105">
        <v>0.06</v>
      </c>
      <c r="Q105">
        <v>0.04</v>
      </c>
      <c r="S105">
        <v>2.4</v>
      </c>
      <c r="T105">
        <v>0.83</v>
      </c>
      <c r="U105">
        <v>0.71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Map1</vt:lpstr>
      <vt:lpstr>Map2</vt:lpstr>
      <vt:lpstr>Map3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朕家 鲁</cp:lastModifiedBy>
  <dcterms:created xsi:type="dcterms:W3CDTF">2015-06-05T18:19:34Z</dcterms:created>
  <dcterms:modified xsi:type="dcterms:W3CDTF">2025-12-12T09:43:06Z</dcterms:modified>
</cp:coreProperties>
</file>